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lumni.sharepoint.com/sites/UCPH_Frstersprojekt2026-Privatgruppekanal/Shared Documents/Privat gruppe kanal/Databehandling/"/>
    </mc:Choice>
  </mc:AlternateContent>
  <xr:revisionPtr revIDLastSave="1443" documentId="8_{240742D3-56DF-4A4B-B18C-4EE1F1312111}" xr6:coauthVersionLast="47" xr6:coauthVersionMax="47" xr10:uidLastSave="{8D6C1037-E00F-496B-B11E-534FDD5BCA05}"/>
  <bookViews>
    <workbookView xWindow="-98" yWindow="-98" windowWidth="19095" windowHeight="12075" xr2:uid="{F1DF3D2A-AEDA-450B-957C-CA3D18DFF818}"/>
  </bookViews>
  <sheets>
    <sheet name="Beaker data" sheetId="1" r:id="rId1"/>
    <sheet name="COPENHAGEN" sheetId="5" r:id="rId2"/>
    <sheet name="GREENLAND" sheetId="4" r:id="rId3"/>
    <sheet name="Test temp" sheetId="3" r:id="rId4"/>
    <sheet name="Vial data" sheetId="2" r:id="rId5"/>
  </sheets>
  <definedNames>
    <definedName name="_xlnm._FilterDatabase" localSheetId="1" hidden="1">COPENHAGEN!$A$1:$K$18</definedName>
    <definedName name="_xlnm._FilterDatabase" localSheetId="2" hidden="1">GREENLAND!$A$1:$I$17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I18" i="1"/>
  <c r="J18" i="1" s="1"/>
  <c r="C37" i="2"/>
  <c r="C36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H27" i="1"/>
  <c r="H26" i="1"/>
  <c r="H25" i="1"/>
  <c r="H24" i="1"/>
  <c r="H23" i="1"/>
  <c r="H22" i="1"/>
  <c r="I31" i="1"/>
  <c r="I32" i="1"/>
  <c r="I33" i="1"/>
  <c r="I34" i="1"/>
  <c r="I35" i="1"/>
  <c r="I36" i="1"/>
  <c r="I37" i="1"/>
  <c r="I30" i="1"/>
  <c r="I29" i="1"/>
  <c r="I28" i="1"/>
  <c r="I20" i="1"/>
  <c r="I19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D29" i="1"/>
  <c r="D30" i="1"/>
  <c r="D31" i="1"/>
  <c r="D32" i="1"/>
  <c r="D35" i="1"/>
  <c r="D36" i="1"/>
  <c r="D28" i="1"/>
  <c r="D27" i="1"/>
  <c r="D26" i="1"/>
  <c r="D25" i="1"/>
  <c r="D24" i="1"/>
  <c r="D23" i="1"/>
  <c r="D22" i="1"/>
  <c r="F22" i="1"/>
  <c r="J22" i="1" s="1"/>
  <c r="F23" i="1"/>
  <c r="F24" i="1"/>
  <c r="C36" i="1"/>
  <c r="C32" i="1"/>
  <c r="C31" i="1"/>
  <c r="C30" i="1"/>
  <c r="C29" i="1"/>
  <c r="C28" i="1"/>
  <c r="C27" i="1"/>
  <c r="C26" i="1"/>
  <c r="C25" i="1"/>
  <c r="C24" i="1"/>
  <c r="C23" i="1"/>
  <c r="C22" i="1"/>
  <c r="F17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0" i="1"/>
  <c r="F19" i="1"/>
  <c r="F16" i="1"/>
  <c r="F15" i="1"/>
  <c r="F14" i="1"/>
  <c r="F13" i="1"/>
  <c r="F12" i="1"/>
  <c r="F11" i="1"/>
  <c r="F10" i="1"/>
  <c r="F9" i="1"/>
  <c r="F8" i="1"/>
  <c r="F7" i="1"/>
  <c r="F6" i="1"/>
  <c r="F5" i="1"/>
  <c r="J23" i="1"/>
  <c r="J24" i="1"/>
  <c r="J25" i="1"/>
  <c r="J32" i="1" l="1"/>
  <c r="J31" i="1"/>
  <c r="J29" i="1"/>
  <c r="J30" i="1"/>
  <c r="J33" i="1"/>
  <c r="J20" i="1"/>
  <c r="J37" i="1"/>
  <c r="J17" i="1"/>
  <c r="J34" i="1"/>
  <c r="J35" i="1"/>
  <c r="J13" i="1"/>
  <c r="J12" i="1"/>
  <c r="J36" i="1"/>
  <c r="J19" i="1"/>
  <c r="J16" i="1"/>
  <c r="J14" i="1"/>
  <c r="J15" i="1"/>
  <c r="J28" i="1"/>
  <c r="J27" i="1"/>
  <c r="J10" i="1"/>
  <c r="J26" i="1"/>
  <c r="J9" i="1"/>
  <c r="J6" i="1"/>
  <c r="J5" i="1"/>
  <c r="J8" i="1"/>
  <c r="J7" i="1"/>
  <c r="J11" i="1"/>
</calcChain>
</file>

<file path=xl/sharedStrings.xml><?xml version="1.0" encoding="utf-8"?>
<sst xmlns="http://schemas.openxmlformats.org/spreadsheetml/2006/main" count="43" uniqueCount="20">
  <si>
    <t>Glass no.</t>
  </si>
  <si>
    <t>Time</t>
  </si>
  <si>
    <t>Temperature</t>
  </si>
  <si>
    <t>Weight without water</t>
  </si>
  <si>
    <t>d2H</t>
  </si>
  <si>
    <t>d18O</t>
  </si>
  <si>
    <t>Temperatur</t>
  </si>
  <si>
    <t>Vial no.</t>
  </si>
  <si>
    <t>Weight with water</t>
  </si>
  <si>
    <t>GREENLAND</t>
  </si>
  <si>
    <t>COPENHAGEN</t>
  </si>
  <si>
    <t>N/N_0 (w/o glass)</t>
  </si>
  <si>
    <t>Water after evaporation (with glass)</t>
  </si>
  <si>
    <t>Water + glass (initial)</t>
  </si>
  <si>
    <t>Glass weight (w/o water)</t>
  </si>
  <si>
    <t>Water weight initial (w/o glass)</t>
  </si>
  <si>
    <t>INITIAL</t>
  </si>
  <si>
    <t>AFTER EVAPORATION</t>
  </si>
  <si>
    <t>Water weight after evaporation (w/o glass)</t>
  </si>
  <si>
    <t>JEG HAR TRYKKET HELT NED PÅ KNAPPEN UNDER FORSØG FOR 31,12,28,11,15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</si>
</sst>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27ACB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ck">
        <color theme="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ck">
        <color theme="0"/>
      </left>
      <right style="thin">
        <color theme="4"/>
      </right>
      <top style="thin">
        <color theme="4"/>
      </top>
      <bottom style="medium">
        <color theme="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left"/>
    </xf>
    <xf numFmtId="20" fontId="0" fillId="0" borderId="0" xfId="0" applyNumberFormat="1"/>
    <xf numFmtId="20" fontId="0" fillId="0" borderId="0" xfId="0" applyNumberFormat="1" applyAlignment="1">
      <alignment horizontal="left"/>
    </xf>
    <xf numFmtId="0" fontId="0" fillId="0" borderId="0" xfId="0" quotePrefix="1"/>
    <xf numFmtId="0" fontId="0" fillId="2" borderId="0" xfId="0" applyFill="1"/>
    <xf numFmtId="0" fontId="3" fillId="2" borderId="0" xfId="0" applyFont="1" applyFill="1"/>
    <xf numFmtId="0" fontId="4" fillId="3" borderId="0" xfId="0" applyFont="1" applyFill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2" fillId="4" borderId="0" xfId="0" applyFont="1" applyFill="1" applyAlignment="1">
      <alignment horizontal="left"/>
    </xf>
    <xf numFmtId="0" fontId="2" fillId="4" borderId="0" xfId="0" applyFont="1" applyFill="1"/>
    <xf numFmtId="0" fontId="5" fillId="0" borderId="0" xfId="0" applyFont="1" applyAlignment="1">
      <alignment horizontal="left"/>
    </xf>
    <xf numFmtId="20" fontId="5" fillId="0" borderId="0" xfId="0" applyNumberFormat="1" applyFont="1" applyAlignment="1">
      <alignment horizontal="left"/>
    </xf>
    <xf numFmtId="0" fontId="5" fillId="0" borderId="0" xfId="0" applyFont="1"/>
    <xf numFmtId="0" fontId="0" fillId="0" borderId="5" xfId="0" applyBorder="1"/>
    <xf numFmtId="0" fontId="0" fillId="5" borderId="5" xfId="0" applyFill="1" applyBorder="1"/>
    <xf numFmtId="0" fontId="3" fillId="2" borderId="5" xfId="0" applyFont="1" applyFill="1" applyBorder="1"/>
    <xf numFmtId="0" fontId="0" fillId="2" borderId="5" xfId="0" applyFill="1" applyBorder="1"/>
    <xf numFmtId="0" fontId="5" fillId="5" borderId="5" xfId="0" applyFont="1" applyFill="1" applyBorder="1" applyAlignment="1">
      <alignment horizontal="left"/>
    </xf>
    <xf numFmtId="0" fontId="5" fillId="5" borderId="5" xfId="0" applyFont="1" applyFill="1" applyBorder="1"/>
    <xf numFmtId="0" fontId="5" fillId="0" borderId="5" xfId="0" applyFont="1" applyBorder="1" applyAlignment="1">
      <alignment horizontal="left"/>
    </xf>
    <xf numFmtId="0" fontId="5" fillId="0" borderId="5" xfId="0" applyFont="1" applyBorder="1"/>
    <xf numFmtId="0" fontId="1" fillId="5" borderId="5" xfId="0" applyFont="1" applyFill="1" applyBorder="1"/>
    <xf numFmtId="0" fontId="6" fillId="3" borderId="6" xfId="0" applyFont="1" applyFill="1" applyBorder="1" applyAlignment="1">
      <alignment vertical="top" wrapText="1"/>
    </xf>
    <xf numFmtId="0" fontId="6" fillId="3" borderId="7" xfId="0" applyFont="1" applyFill="1" applyBorder="1" applyAlignment="1">
      <alignment vertical="top" wrapText="1"/>
    </xf>
    <xf numFmtId="0" fontId="0" fillId="2" borderId="5" xfId="0" applyFill="1" applyBorder="1" applyAlignment="1">
      <alignment wrapText="1"/>
    </xf>
    <xf numFmtId="0" fontId="0" fillId="0" borderId="5" xfId="0" applyBorder="1" applyAlignment="1">
      <alignment horizontal="left"/>
    </xf>
    <xf numFmtId="0" fontId="0" fillId="0" borderId="5" xfId="0" quotePrefix="1" applyBorder="1"/>
    <xf numFmtId="0" fontId="0" fillId="5" borderId="5" xfId="0" applyFill="1" applyBorder="1" applyAlignment="1">
      <alignment horizontal="left"/>
    </xf>
    <xf numFmtId="0" fontId="0" fillId="5" borderId="5" xfId="0" quotePrefix="1" applyFill="1" applyBorder="1"/>
    <xf numFmtId="2" fontId="0" fillId="0" borderId="0" xfId="0" applyNumberFormat="1"/>
    <xf numFmtId="22" fontId="0" fillId="0" borderId="5" xfId="0" applyNumberFormat="1" applyBorder="1" applyAlignment="1">
      <alignment horizontal="left"/>
    </xf>
    <xf numFmtId="22" fontId="0" fillId="5" borderId="5" xfId="0" applyNumberFormat="1" applyFill="1" applyBorder="1" applyAlignment="1">
      <alignment horizontal="left"/>
    </xf>
    <xf numFmtId="14" fontId="0" fillId="0" borderId="0" xfId="0" applyNumberFormat="1"/>
    <xf numFmtId="22" fontId="0" fillId="0" borderId="0" xfId="0" applyNumberFormat="1"/>
    <xf numFmtId="22" fontId="5" fillId="5" borderId="5" xfId="0" applyNumberFormat="1" applyFont="1" applyFill="1" applyBorder="1" applyAlignment="1">
      <alignment horizontal="left"/>
    </xf>
    <xf numFmtId="22" fontId="5" fillId="0" borderId="5" xfId="0" applyNumberFormat="1" applyFont="1" applyBorder="1" applyAlignment="1">
      <alignment horizontal="left"/>
    </xf>
    <xf numFmtId="164" fontId="0" fillId="0" borderId="0" xfId="0" applyNumberFormat="1"/>
    <xf numFmtId="164" fontId="5" fillId="0" borderId="0" xfId="0" applyNumberFormat="1" applyFont="1"/>
    <xf numFmtId="164" fontId="0" fillId="2" borderId="0" xfId="0" applyNumberFormat="1" applyFill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6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97BF4A-EE26-462A-A7AC-24060A4207D8}" name="Table1" displayName="Table1" ref="B3:J37" totalsRowShown="0" headerRowDxfId="5">
  <tableColumns count="9">
    <tableColumn id="1" xr3:uid="{A02E458A-A78E-48D2-9962-54181313D3BF}" name="Glass no." dataDxfId="4"/>
    <tableColumn id="2" xr3:uid="{2CEC2185-030E-4B4B-8315-E55F8790C99E}" name="Time" dataDxfId="3"/>
    <tableColumn id="3" xr3:uid="{E90EA606-7426-44B7-9C76-556133BDFE49}" name="Temperature"/>
    <tableColumn id="4" xr3:uid="{D7071029-F627-4091-90B5-0CC1511853FC}" name="Glass weight (w/o water)"/>
    <tableColumn id="5" xr3:uid="{AA3272A8-E6C5-40ED-A703-55A5B84007D8}" name="Water weight initial (w/o glass)"/>
    <tableColumn id="10" xr3:uid="{32E55056-9BB0-40F6-8CB5-B8EDA81BF863}" name="Water + glass (initial)"/>
    <tableColumn id="11" xr3:uid="{C3017A41-D369-4745-82A4-EDD552129B9C}" name="Water after evaporation (with glass)"/>
    <tableColumn id="6" xr3:uid="{1E20E826-EDDF-471E-91FE-A17F1841DF4C}" name="Water weight after evaporation (w/o glass)"/>
    <tableColumn id="9" xr3:uid="{BBA39D22-B0C2-40EB-A341-EE5C022E6ED0}" name="N/N_0 (w/o glass)" dataDxfId="2">
      <calculatedColumnFormula>Table1[[#This Row],[Water weight after evaporation (w/o glass)]]/Table1[[#This Row],[Water weight initial (w/o glass)]]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0A355A-17F3-4348-BFB8-1D681394963E}" name="Table4" displayName="Table4" ref="B5:C28" totalsRowShown="0">
  <tableColumns count="2">
    <tableColumn id="1" xr3:uid="{A9A0FBF4-DEBF-48DA-ACFB-3F1CB408F529}" name="Time"/>
    <tableColumn id="2" xr3:uid="{203F0B0A-F7CA-4395-B833-B25AC1857D4B}" name="Temperatur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F8603C-587B-4029-88D5-D083DF30B0E8}" name="Table2" displayName="Table2" ref="B3:E37" totalsRowShown="0">
  <tableColumns count="4">
    <tableColumn id="1" xr3:uid="{282EAA1F-62F5-4A86-9B0E-32D3D3592599}" name="Vial no." dataDxfId="1"/>
    <tableColumn id="2" xr3:uid="{8922649D-A8BD-44C6-9EA3-EAF5DC67B3EC}" name="Time" dataDxfId="0"/>
    <tableColumn id="3" xr3:uid="{863E4C0E-CF0A-4FA1-9344-3D398DF9493E}" name="Weight without water"/>
    <tableColumn id="4" xr3:uid="{6DBF51B9-D4BF-43EE-8C7B-2A92A61388FD}" name="Weight with water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22F00-8480-474E-A9A7-D8771F579CC6}">
  <dimension ref="B1:J43"/>
  <sheetViews>
    <sheetView tabSelected="1" zoomScale="60" zoomScaleNormal="60" workbookViewId="0">
      <selection activeCell="G44" sqref="G44"/>
    </sheetView>
  </sheetViews>
  <sheetFormatPr defaultRowHeight="14.25" x14ac:dyDescent="0.45"/>
  <cols>
    <col min="2" max="2" width="10.265625" bestFit="1" customWidth="1"/>
    <col min="3" max="3" width="6" bestFit="1" customWidth="1"/>
    <col min="4" max="4" width="14.3984375" bestFit="1" customWidth="1"/>
    <col min="5" max="5" width="16.59765625" customWidth="1"/>
    <col min="6" max="6" width="22.73046875" customWidth="1"/>
    <col min="7" max="7" width="17.3984375" bestFit="1" customWidth="1"/>
    <col min="8" max="8" width="17.3984375" customWidth="1"/>
    <col min="9" max="9" width="26.86328125" customWidth="1"/>
    <col min="10" max="10" width="20.59765625" customWidth="1"/>
  </cols>
  <sheetData>
    <row r="1" spans="2:10" ht="14.65" thickBot="1" x14ac:dyDescent="0.5">
      <c r="B1" s="2"/>
    </row>
    <row r="2" spans="2:10" ht="14.65" thickBot="1" x14ac:dyDescent="0.5">
      <c r="E2" s="40" t="s">
        <v>16</v>
      </c>
      <c r="F2" s="41"/>
      <c r="G2" s="42"/>
      <c r="H2" s="40" t="s">
        <v>17</v>
      </c>
      <c r="I2" s="41"/>
      <c r="J2" s="42"/>
    </row>
    <row r="3" spans="2:10" ht="54" x14ac:dyDescent="0.45">
      <c r="B3" s="7" t="s">
        <v>0</v>
      </c>
      <c r="C3" s="7" t="s">
        <v>1</v>
      </c>
      <c r="D3" s="7" t="s">
        <v>2</v>
      </c>
      <c r="E3" s="7" t="s">
        <v>14</v>
      </c>
      <c r="F3" s="7" t="s">
        <v>15</v>
      </c>
      <c r="G3" s="7" t="s">
        <v>13</v>
      </c>
      <c r="H3" s="8" t="s">
        <v>12</v>
      </c>
      <c r="I3" s="7" t="s">
        <v>18</v>
      </c>
      <c r="J3" s="7" t="s">
        <v>11</v>
      </c>
    </row>
    <row r="4" spans="2:10" ht="15.75" x14ac:dyDescent="0.5">
      <c r="B4" s="6" t="s">
        <v>10</v>
      </c>
      <c r="C4" s="5"/>
      <c r="D4" s="5"/>
      <c r="E4" s="5"/>
      <c r="F4" s="5"/>
      <c r="G4" s="5"/>
      <c r="H4" s="5"/>
      <c r="I4" s="5"/>
      <c r="J4" s="5"/>
    </row>
    <row r="5" spans="2:10" x14ac:dyDescent="0.45">
      <c r="B5" s="1">
        <v>0</v>
      </c>
      <c r="C5" s="3">
        <v>0.29791666666666666</v>
      </c>
      <c r="D5">
        <v>39.200000000000003</v>
      </c>
      <c r="E5">
        <v>32.56</v>
      </c>
      <c r="F5">
        <f>72.71-E5</f>
        <v>40.149999999999991</v>
      </c>
      <c r="G5" s="4">
        <v>72.709999999999994</v>
      </c>
      <c r="H5" s="4">
        <v>72.709999999999994</v>
      </c>
      <c r="I5">
        <f>Table1[[#This Row],[Water after evaporation (with glass)]]-Table1[[#This Row],[Glass weight (w/o water)]]</f>
        <v>40.149999999999991</v>
      </c>
      <c r="J5" s="37">
        <f>Table1[[#This Row],[Water weight after evaporation (w/o glass)]]/Table1[[#This Row],[Water weight initial (w/o glass)]]</f>
        <v>1</v>
      </c>
    </row>
    <row r="6" spans="2:10" x14ac:dyDescent="0.45">
      <c r="B6" s="1">
        <v>1</v>
      </c>
      <c r="C6" s="3">
        <v>0.36180555555555555</v>
      </c>
      <c r="D6">
        <v>41.1</v>
      </c>
      <c r="E6">
        <v>31.15</v>
      </c>
      <c r="F6">
        <f>69.23-E6</f>
        <v>38.080000000000005</v>
      </c>
      <c r="G6" s="4">
        <v>69.23</v>
      </c>
      <c r="H6" s="4">
        <v>67.61</v>
      </c>
      <c r="I6">
        <f>Table1[[#This Row],[Water after evaporation (with glass)]]-Table1[[#This Row],[Glass weight (w/o water)]]</f>
        <v>36.46</v>
      </c>
      <c r="J6" s="37">
        <f>Table1[[#This Row],[Water weight after evaporation (w/o glass)]]/Table1[[#This Row],[Water weight initial (w/o glass)]]</f>
        <v>0.95745798319327724</v>
      </c>
    </row>
    <row r="7" spans="2:10" x14ac:dyDescent="0.45">
      <c r="B7" s="1">
        <v>2</v>
      </c>
      <c r="C7" s="3">
        <v>0.4284722222222222</v>
      </c>
      <c r="D7">
        <v>41.8</v>
      </c>
      <c r="E7">
        <v>32.08</v>
      </c>
      <c r="F7">
        <f>72.23-E7</f>
        <v>40.150000000000006</v>
      </c>
      <c r="G7" s="4">
        <v>72.23</v>
      </c>
      <c r="H7" s="4">
        <v>67.88</v>
      </c>
      <c r="I7">
        <f>Table1[[#This Row],[Water after evaporation (with glass)]]-Table1[[#This Row],[Glass weight (w/o water)]]</f>
        <v>35.799999999999997</v>
      </c>
      <c r="J7" s="37">
        <f>Table1[[#This Row],[Water weight after evaporation (w/o glass)]]/Table1[[#This Row],[Water weight initial (w/o glass)]]</f>
        <v>0.89165628891656268</v>
      </c>
    </row>
    <row r="8" spans="2:10" x14ac:dyDescent="0.45">
      <c r="B8" s="1">
        <v>3</v>
      </c>
      <c r="C8" s="3">
        <v>0.49305555555555558</v>
      </c>
      <c r="D8">
        <v>41.7</v>
      </c>
      <c r="E8">
        <v>32.81</v>
      </c>
      <c r="F8">
        <f>81.77-E8</f>
        <v>48.959999999999994</v>
      </c>
      <c r="G8" s="4">
        <v>81.77</v>
      </c>
      <c r="H8" s="4">
        <v>74.959999999999994</v>
      </c>
      <c r="I8">
        <f>Table1[[#This Row],[Water after evaporation (with glass)]]-Table1[[#This Row],[Glass weight (w/o water)]]</f>
        <v>42.149999999999991</v>
      </c>
      <c r="J8" s="37">
        <f>Table1[[#This Row],[Water weight after evaporation (w/o glass)]]/Table1[[#This Row],[Water weight initial (w/o glass)]]</f>
        <v>0.86090686274509798</v>
      </c>
    </row>
    <row r="9" spans="2:10" x14ac:dyDescent="0.45">
      <c r="B9" s="1">
        <v>4</v>
      </c>
      <c r="C9" s="3">
        <v>0.55902777777777779</v>
      </c>
      <c r="D9">
        <v>42.1</v>
      </c>
      <c r="E9">
        <v>34.979999999999997</v>
      </c>
      <c r="F9">
        <f>77.14-E9</f>
        <v>42.160000000000004</v>
      </c>
      <c r="G9" s="4">
        <v>77.14</v>
      </c>
      <c r="H9" s="4">
        <v>68.52</v>
      </c>
      <c r="I9">
        <f>Table1[[#This Row],[Water after evaporation (with glass)]]-Table1[[#This Row],[Glass weight (w/o water)]]</f>
        <v>33.54</v>
      </c>
      <c r="J9" s="37">
        <f>Table1[[#This Row],[Water weight after evaporation (w/o glass)]]/Table1[[#This Row],[Water weight initial (w/o glass)]]</f>
        <v>0.79554079696394675</v>
      </c>
    </row>
    <row r="10" spans="2:10" x14ac:dyDescent="0.45">
      <c r="B10" s="1">
        <v>5</v>
      </c>
      <c r="C10" s="3">
        <v>0.65</v>
      </c>
      <c r="D10">
        <v>41.9</v>
      </c>
      <c r="E10">
        <v>34.56</v>
      </c>
      <c r="F10">
        <f>75.77-E10</f>
        <v>41.209999999999994</v>
      </c>
      <c r="G10" s="4">
        <v>75.77</v>
      </c>
      <c r="H10" s="4">
        <v>63.72</v>
      </c>
      <c r="I10">
        <f>Table1[[#This Row],[Water after evaporation (with glass)]]-Table1[[#This Row],[Glass weight (w/o water)]]</f>
        <v>29.159999999999997</v>
      </c>
      <c r="J10" s="37">
        <f>Table1[[#This Row],[Water weight after evaporation (w/o glass)]]/Table1[[#This Row],[Water weight initial (w/o glass)]]</f>
        <v>0.70759524387284645</v>
      </c>
    </row>
    <row r="11" spans="2:10" x14ac:dyDescent="0.45">
      <c r="B11" s="1">
        <v>6</v>
      </c>
      <c r="C11" s="3">
        <v>0.71805555555555556</v>
      </c>
      <c r="D11">
        <v>41.7</v>
      </c>
      <c r="E11">
        <v>33.07</v>
      </c>
      <c r="F11">
        <f>74.6-E11</f>
        <v>41.529999999999994</v>
      </c>
      <c r="G11">
        <v>59.55</v>
      </c>
      <c r="H11">
        <v>59.55</v>
      </c>
      <c r="I11">
        <f>Table1[[#This Row],[Water after evaporation (with glass)]]-Table1[[#This Row],[Glass weight (w/o water)]]</f>
        <v>26.479999999999997</v>
      </c>
      <c r="J11" s="37">
        <f>Table1[[#This Row],[Water weight after evaporation (w/o glass)]]/Table1[[#This Row],[Water weight initial (w/o glass)]]</f>
        <v>0.63761136527811224</v>
      </c>
    </row>
    <row r="12" spans="2:10" x14ac:dyDescent="0.45">
      <c r="B12" s="1">
        <v>7</v>
      </c>
      <c r="C12" s="3">
        <v>0.79583333333333328</v>
      </c>
      <c r="D12">
        <v>41.6</v>
      </c>
      <c r="E12">
        <v>33.47</v>
      </c>
      <c r="F12">
        <f>76.16-E12</f>
        <v>42.69</v>
      </c>
      <c r="G12">
        <v>76.16</v>
      </c>
      <c r="H12">
        <v>58.87</v>
      </c>
      <c r="I12">
        <f>Table1[[#This Row],[Water after evaporation (with glass)]]-Table1[[#This Row],[Glass weight (w/o water)]]</f>
        <v>25.4</v>
      </c>
      <c r="J12" s="37">
        <f>Table1[[#This Row],[Water weight after evaporation (w/o glass)]]/Table1[[#This Row],[Water weight initial (w/o glass)]]</f>
        <v>0.59498711642070745</v>
      </c>
    </row>
    <row r="13" spans="2:10" x14ac:dyDescent="0.45">
      <c r="B13" s="1">
        <v>8</v>
      </c>
      <c r="C13" s="3">
        <v>0.88194444444444442</v>
      </c>
      <c r="D13">
        <v>41.2</v>
      </c>
      <c r="E13">
        <v>33.090000000000003</v>
      </c>
      <c r="F13">
        <f>70.85-Table1[[#This Row],[Glass weight (w/o water)]]</f>
        <v>37.759999999999991</v>
      </c>
      <c r="G13">
        <v>70.849999999999994</v>
      </c>
      <c r="H13">
        <v>46.97</v>
      </c>
      <c r="I13">
        <f>Table1[[#This Row],[Water after evaporation (with glass)]]-Table1[[#This Row],[Glass weight (w/o water)]]</f>
        <v>13.879999999999995</v>
      </c>
      <c r="J13" s="37">
        <f>Table1[[#This Row],[Water weight after evaporation (w/o glass)]]/Table1[[#This Row],[Water weight initial (w/o glass)]]</f>
        <v>0.36758474576271183</v>
      </c>
    </row>
    <row r="14" spans="2:10" x14ac:dyDescent="0.45">
      <c r="B14" s="1">
        <v>9</v>
      </c>
      <c r="C14" s="3">
        <v>0.97152777777777777</v>
      </c>
      <c r="D14">
        <v>41.2</v>
      </c>
      <c r="E14">
        <v>34.56</v>
      </c>
      <c r="F14">
        <f>80.39-Table1[[#This Row],[Glass weight (w/o water)]]</f>
        <v>45.83</v>
      </c>
      <c r="G14">
        <v>80.39</v>
      </c>
      <c r="H14">
        <v>56.6</v>
      </c>
      <c r="I14">
        <f>Table1[[#This Row],[Water after evaporation (with glass)]]-Table1[[#This Row],[Glass weight (w/o water)]]</f>
        <v>22.04</v>
      </c>
      <c r="J14" s="37">
        <f>Table1[[#This Row],[Water weight after evaporation (w/o glass)]]/Table1[[#This Row],[Water weight initial (w/o glass)]]</f>
        <v>0.48090770237835478</v>
      </c>
    </row>
    <row r="15" spans="2:10" x14ac:dyDescent="0.45">
      <c r="B15" s="1">
        <v>10</v>
      </c>
      <c r="C15" s="3">
        <v>3.9583333333333331E-2</v>
      </c>
      <c r="D15">
        <v>41.6</v>
      </c>
      <c r="E15">
        <v>32.43</v>
      </c>
      <c r="F15">
        <f>71.1-Table1[[#This Row],[Glass weight (w/o water)]]</f>
        <v>38.669999999999995</v>
      </c>
      <c r="G15">
        <v>71.099999999999994</v>
      </c>
      <c r="H15">
        <v>43.85</v>
      </c>
      <c r="I15">
        <f>Table1[[#This Row],[Water after evaporation (with glass)]]-Table1[[#This Row],[Glass weight (w/o water)]]</f>
        <v>11.420000000000002</v>
      </c>
      <c r="J15" s="37">
        <f>Table1[[#This Row],[Water weight after evaporation (w/o glass)]]/Table1[[#This Row],[Water weight initial (w/o glass)]]</f>
        <v>0.29531936901991218</v>
      </c>
    </row>
    <row r="16" spans="2:10" x14ac:dyDescent="0.45">
      <c r="B16" s="1">
        <v>11</v>
      </c>
      <c r="C16" s="3">
        <v>0.47916666666666669</v>
      </c>
      <c r="D16">
        <v>50.4</v>
      </c>
      <c r="E16">
        <v>32.11</v>
      </c>
      <c r="F16">
        <f>70.64-Table1[[#This Row],[Glass weight (w/o water)]]</f>
        <v>38.53</v>
      </c>
      <c r="G16">
        <v>70.64</v>
      </c>
      <c r="H16">
        <v>33.909999999999997</v>
      </c>
      <c r="I16">
        <f>Table1[[#This Row],[Water after evaporation (with glass)]]-Table1[[#This Row],[Glass weight (w/o water)]]</f>
        <v>1.7999999999999972</v>
      </c>
      <c r="J16" s="37">
        <f>Table1[[#This Row],[Water weight after evaporation (w/o glass)]]/Table1[[#This Row],[Water weight initial (w/o glass)]]</f>
        <v>4.6716844017648508E-2</v>
      </c>
    </row>
    <row r="17" spans="2:10" x14ac:dyDescent="0.45">
      <c r="B17" s="1">
        <v>12</v>
      </c>
      <c r="C17" s="3">
        <v>0.43263888888888891</v>
      </c>
      <c r="D17">
        <v>45.6</v>
      </c>
      <c r="E17">
        <v>32</v>
      </c>
      <c r="F17">
        <f>72.08-Table1[[#This Row],[Glass weight (w/o water)]]</f>
        <v>40.08</v>
      </c>
      <c r="G17">
        <v>72.08</v>
      </c>
      <c r="H17">
        <v>34.770000000000003</v>
      </c>
      <c r="I17">
        <f>Table1[[#This Row],[Water after evaporation (with glass)]]-Table1[[#This Row],[Glass weight (w/o water)]]</f>
        <v>2.7700000000000031</v>
      </c>
      <c r="J17" s="38">
        <f>Table1[[#This Row],[Water weight after evaporation (w/o glass)]]/Table1[[#This Row],[Water weight initial (w/o glass)]]</f>
        <v>6.9111776447105866E-2</v>
      </c>
    </row>
    <row r="18" spans="2:10" x14ac:dyDescent="0.45">
      <c r="B18" s="1">
        <v>13</v>
      </c>
      <c r="C18" s="3">
        <v>0.38194444444444442</v>
      </c>
      <c r="D18">
        <v>46.1</v>
      </c>
      <c r="E18">
        <v>32.61</v>
      </c>
      <c r="F18">
        <f>71.29-Table1[[#This Row],[Glass weight (w/o water)]]</f>
        <v>38.680000000000007</v>
      </c>
      <c r="G18">
        <v>71.290000000000006</v>
      </c>
      <c r="H18">
        <v>36.25</v>
      </c>
      <c r="I18">
        <f>Table1[[#This Row],[Water after evaporation (with glass)]]-Table1[[#This Row],[Glass weight (w/o water)]]</f>
        <v>3.6400000000000006</v>
      </c>
      <c r="J18" s="37">
        <f>Table1[[#This Row],[Water weight after evaporation (w/o glass)]]/Table1[[#This Row],[Water weight initial (w/o glass)]]</f>
        <v>9.4105480868665978E-2</v>
      </c>
    </row>
    <row r="19" spans="2:10" x14ac:dyDescent="0.45">
      <c r="B19" s="1">
        <v>14</v>
      </c>
      <c r="C19" s="3">
        <v>0.16875000000000001</v>
      </c>
      <c r="D19">
        <v>41.3</v>
      </c>
      <c r="E19">
        <v>34.630000000000003</v>
      </c>
      <c r="F19">
        <f>72.27-Table1[[#This Row],[Glass weight (w/o water)]]</f>
        <v>37.639999999999993</v>
      </c>
      <c r="G19">
        <v>72.27</v>
      </c>
      <c r="H19">
        <v>41.19</v>
      </c>
      <c r="I19">
        <f>Table1[[#This Row],[Water after evaporation (with glass)]]-Table1[[#This Row],[Glass weight (w/o water)]]</f>
        <v>6.5599999999999952</v>
      </c>
      <c r="J19" s="37">
        <f>Table1[[#This Row],[Water weight after evaporation (w/o glass)]]/Table1[[#This Row],[Water weight initial (w/o glass)]]</f>
        <v>0.1742826780021253</v>
      </c>
    </row>
    <row r="20" spans="2:10" x14ac:dyDescent="0.45">
      <c r="B20" s="1">
        <v>15</v>
      </c>
      <c r="C20" s="3">
        <v>0.48680555555555555</v>
      </c>
      <c r="D20">
        <v>50.6</v>
      </c>
      <c r="E20">
        <v>32.409999999999997</v>
      </c>
      <c r="F20">
        <f>73.39-Table1[[#This Row],[Glass weight (w/o water)]]</f>
        <v>40.980000000000004</v>
      </c>
      <c r="G20">
        <v>73.39</v>
      </c>
      <c r="H20">
        <v>34.950000000000003</v>
      </c>
      <c r="I20">
        <f>Table1[[#This Row],[Water after evaporation (with glass)]]-Table1[[#This Row],[Glass weight (w/o water)]]</f>
        <v>2.5400000000000063</v>
      </c>
      <c r="J20" s="37">
        <f>Table1[[#This Row],[Water weight after evaporation (w/o glass)]]/Table1[[#This Row],[Water weight initial (w/o glass)]]</f>
        <v>6.198145436798453E-2</v>
      </c>
    </row>
    <row r="21" spans="2:10" ht="15.75" x14ac:dyDescent="0.5">
      <c r="B21" s="6" t="s">
        <v>9</v>
      </c>
      <c r="C21" s="5"/>
      <c r="D21" s="5"/>
      <c r="E21" s="5"/>
      <c r="F21" s="5"/>
      <c r="G21" s="5"/>
      <c r="H21" s="5"/>
      <c r="I21" s="5"/>
      <c r="J21" s="39"/>
    </row>
    <row r="22" spans="2:10" x14ac:dyDescent="0.45">
      <c r="B22" s="11">
        <v>16</v>
      </c>
      <c r="C22" s="12">
        <f t="shared" ref="C22:D32" si="0">C5</f>
        <v>0.29791666666666666</v>
      </c>
      <c r="D22" s="13">
        <f t="shared" si="0"/>
        <v>39.200000000000003</v>
      </c>
      <c r="E22" s="13">
        <v>32.020000000000003</v>
      </c>
      <c r="F22" s="13">
        <f>78.18-Table1[[#This Row],[Glass weight (w/o water)]]</f>
        <v>46.160000000000004</v>
      </c>
      <c r="G22" s="13">
        <v>78.180000000000007</v>
      </c>
      <c r="H22" s="13">
        <f>Table1[[#This Row],[Water weight after evaporation (w/o glass)]]+Table1[[#This Row],[Glass weight (w/o water)]]</f>
        <v>78.180000000000007</v>
      </c>
      <c r="I22" s="13">
        <v>46.160000000000004</v>
      </c>
      <c r="J22" s="38">
        <f>Table1[[#This Row],[Water weight after evaporation (w/o glass)]]/Table1[[#This Row],[Water weight initial (w/o glass)]]</f>
        <v>1</v>
      </c>
    </row>
    <row r="23" spans="2:10" x14ac:dyDescent="0.45">
      <c r="B23" s="11">
        <v>17</v>
      </c>
      <c r="C23" s="12">
        <f t="shared" si="0"/>
        <v>0.36180555555555555</v>
      </c>
      <c r="D23" s="13">
        <f t="shared" si="0"/>
        <v>41.1</v>
      </c>
      <c r="E23" s="13">
        <v>32.69</v>
      </c>
      <c r="F23" s="13">
        <f>74.43-Table1[[#This Row],[Glass weight (w/o water)]]</f>
        <v>41.740000000000009</v>
      </c>
      <c r="G23" s="13">
        <v>74.430000000000007</v>
      </c>
      <c r="H23" s="13">
        <f>Table1[[#This Row],[Water weight after evaporation (w/o glass)]]+Table1[[#This Row],[Glass weight (w/o water)]]</f>
        <v>73</v>
      </c>
      <c r="I23" s="13">
        <v>40.31</v>
      </c>
      <c r="J23" s="38">
        <f>Table1[[#This Row],[Water weight after evaporation (w/o glass)]]/Table1[[#This Row],[Water weight initial (w/o glass)]]</f>
        <v>0.96574029707714404</v>
      </c>
    </row>
    <row r="24" spans="2:10" x14ac:dyDescent="0.45">
      <c r="B24" s="11">
        <v>18</v>
      </c>
      <c r="C24" s="12">
        <f t="shared" si="0"/>
        <v>0.4284722222222222</v>
      </c>
      <c r="D24" s="13">
        <f t="shared" si="0"/>
        <v>41.8</v>
      </c>
      <c r="E24" s="13">
        <v>33.79</v>
      </c>
      <c r="F24" s="13">
        <f>74.26-Table1[[#This Row],[Glass weight (w/o water)]]</f>
        <v>40.470000000000006</v>
      </c>
      <c r="G24" s="13">
        <v>74.260000000000005</v>
      </c>
      <c r="H24" s="13">
        <f>Table1[[#This Row],[Water weight after evaporation (w/o glass)]]+Table1[[#This Row],[Glass weight (w/o water)]]</f>
        <v>69.510000000000005</v>
      </c>
      <c r="I24" s="13">
        <v>35.720000000000006</v>
      </c>
      <c r="J24" s="38">
        <f>Table1[[#This Row],[Water weight after evaporation (w/o glass)]]/Table1[[#This Row],[Water weight initial (w/o glass)]]</f>
        <v>0.88262910798122063</v>
      </c>
    </row>
    <row r="25" spans="2:10" x14ac:dyDescent="0.45">
      <c r="B25" s="11">
        <v>19</v>
      </c>
      <c r="C25" s="12">
        <f t="shared" si="0"/>
        <v>0.49305555555555558</v>
      </c>
      <c r="D25" s="13">
        <f t="shared" si="0"/>
        <v>41.7</v>
      </c>
      <c r="E25" s="13">
        <v>33.119999999999997</v>
      </c>
      <c r="F25" s="13">
        <f>72.23-Table1[[#This Row],[Glass weight (w/o water)]]</f>
        <v>39.110000000000007</v>
      </c>
      <c r="G25" s="13">
        <v>72.23</v>
      </c>
      <c r="H25" s="13">
        <f>Table1[[#This Row],[Water weight after evaporation (w/o glass)]]+Table1[[#This Row],[Glass weight (w/o water)]]</f>
        <v>66.16</v>
      </c>
      <c r="I25" s="13">
        <v>33.04</v>
      </c>
      <c r="J25" s="38">
        <f>Table1[[#This Row],[Water weight after evaporation (w/o glass)]]/Table1[[#This Row],[Water weight initial (w/o glass)]]</f>
        <v>0.8447967271797493</v>
      </c>
    </row>
    <row r="26" spans="2:10" x14ac:dyDescent="0.45">
      <c r="B26" s="11">
        <v>20</v>
      </c>
      <c r="C26" s="12">
        <f t="shared" si="0"/>
        <v>0.55902777777777779</v>
      </c>
      <c r="D26" s="13">
        <f t="shared" si="0"/>
        <v>42.1</v>
      </c>
      <c r="E26" s="13">
        <v>32.6</v>
      </c>
      <c r="F26" s="13">
        <f>74.75-Table1[[#This Row],[Glass weight (w/o water)]]</f>
        <v>42.15</v>
      </c>
      <c r="G26" s="13">
        <v>74.75</v>
      </c>
      <c r="H26" s="13">
        <f>Table1[[#This Row],[Water weight after evaporation (w/o glass)]]+Table1[[#This Row],[Glass weight (w/o water)]]</f>
        <v>67.03</v>
      </c>
      <c r="I26" s="13">
        <v>34.43</v>
      </c>
      <c r="J26" s="38">
        <f>Table1[[#This Row],[Water weight after evaporation (w/o glass)]]/Table1[[#This Row],[Water weight initial (w/o glass)]]</f>
        <v>0.81684460260972713</v>
      </c>
    </row>
    <row r="27" spans="2:10" x14ac:dyDescent="0.45">
      <c r="B27" s="11">
        <v>21</v>
      </c>
      <c r="C27" s="12">
        <f t="shared" si="0"/>
        <v>0.65</v>
      </c>
      <c r="D27" s="13">
        <f t="shared" si="0"/>
        <v>41.9</v>
      </c>
      <c r="E27" s="13">
        <v>33.619999999999997</v>
      </c>
      <c r="F27" s="13">
        <f>75.92-Table1[[#This Row],[Glass weight (w/o water)]]</f>
        <v>42.300000000000004</v>
      </c>
      <c r="G27" s="13">
        <v>75.92</v>
      </c>
      <c r="H27" s="13">
        <f>Table1[[#This Row],[Water weight after evaporation (w/o glass)]]+Table1[[#This Row],[Glass weight (w/o water)]]</f>
        <v>64.7</v>
      </c>
      <c r="I27" s="13">
        <v>31.080000000000005</v>
      </c>
      <c r="J27" s="38">
        <f>Table1[[#This Row],[Water weight after evaporation (w/o glass)]]/Table1[[#This Row],[Water weight initial (w/o glass)]]</f>
        <v>0.73475177304964545</v>
      </c>
    </row>
    <row r="28" spans="2:10" x14ac:dyDescent="0.45">
      <c r="B28" s="11">
        <v>22</v>
      </c>
      <c r="C28" s="12">
        <f t="shared" si="0"/>
        <v>0.71805555555555556</v>
      </c>
      <c r="D28" s="13">
        <f t="shared" si="0"/>
        <v>41.7</v>
      </c>
      <c r="E28" s="13">
        <v>34.380000000000003</v>
      </c>
      <c r="F28" s="13">
        <f>72.83-Table1[[#This Row],[Glass weight (w/o water)]]</f>
        <v>38.449999999999996</v>
      </c>
      <c r="G28" s="13">
        <v>72.83</v>
      </c>
      <c r="H28" s="13">
        <v>55.21</v>
      </c>
      <c r="I28" s="13">
        <f>Table1[[#This Row],[Water after evaporation (with glass)]]-Table1[[#This Row],[Glass weight (w/o water)]]</f>
        <v>20.83</v>
      </c>
      <c r="J28" s="38">
        <f>Table1[[#This Row],[Water weight after evaporation (w/o glass)]]/Table1[[#This Row],[Water weight initial (w/o glass)]]</f>
        <v>0.54174252275682711</v>
      </c>
    </row>
    <row r="29" spans="2:10" x14ac:dyDescent="0.45">
      <c r="B29" s="11">
        <v>23</v>
      </c>
      <c r="C29" s="12">
        <f t="shared" si="0"/>
        <v>0.79583333333333328</v>
      </c>
      <c r="D29" s="13">
        <f t="shared" si="0"/>
        <v>41.6</v>
      </c>
      <c r="E29" s="13">
        <v>34.229999999999997</v>
      </c>
      <c r="F29" s="13">
        <f>72.44-Table1[[#This Row],[Glass weight (w/o water)]]</f>
        <v>38.21</v>
      </c>
      <c r="G29" s="13">
        <v>72.44</v>
      </c>
      <c r="H29" s="13">
        <v>54.54</v>
      </c>
      <c r="I29" s="13">
        <f>Table1[[#This Row],[Water after evaporation (with glass)]]-Table1[[#This Row],[Glass weight (w/o water)]]</f>
        <v>20.310000000000002</v>
      </c>
      <c r="J29" s="38">
        <f>Table1[[#This Row],[Water weight after evaporation (w/o glass)]]/Table1[[#This Row],[Water weight initial (w/o glass)]]</f>
        <v>0.53153624705574465</v>
      </c>
    </row>
    <row r="30" spans="2:10" x14ac:dyDescent="0.45">
      <c r="B30" s="11">
        <v>24</v>
      </c>
      <c r="C30" s="12">
        <f t="shared" si="0"/>
        <v>0.88194444444444442</v>
      </c>
      <c r="D30" s="13">
        <f t="shared" si="0"/>
        <v>41.2</v>
      </c>
      <c r="E30" s="13">
        <v>34.51</v>
      </c>
      <c r="F30" s="13">
        <f>76.69-Table1[[#This Row],[Glass weight (w/o water)]]</f>
        <v>42.18</v>
      </c>
      <c r="G30" s="13">
        <v>76.69</v>
      </c>
      <c r="H30" s="13">
        <v>59.18</v>
      </c>
      <c r="I30" s="13">
        <f>Table1[[#This Row],[Water after evaporation (with glass)]]-Table1[[#This Row],[Glass weight (w/o water)]]</f>
        <v>24.67</v>
      </c>
      <c r="J30" s="38">
        <f>Table1[[#This Row],[Water weight after evaporation (w/o glass)]]/Table1[[#This Row],[Water weight initial (w/o glass)]]</f>
        <v>0.58487434803224281</v>
      </c>
    </row>
    <row r="31" spans="2:10" x14ac:dyDescent="0.45">
      <c r="B31" s="11">
        <v>25</v>
      </c>
      <c r="C31" s="12">
        <f t="shared" si="0"/>
        <v>0.97152777777777777</v>
      </c>
      <c r="D31" s="13">
        <f t="shared" si="0"/>
        <v>41.2</v>
      </c>
      <c r="E31" s="13">
        <v>34.11</v>
      </c>
      <c r="F31" s="13">
        <f>73.47-Table1[[#This Row],[Glass weight (w/o water)]]</f>
        <v>39.36</v>
      </c>
      <c r="G31" s="13">
        <v>73.47</v>
      </c>
      <c r="H31" s="13">
        <v>52.1</v>
      </c>
      <c r="I31" s="13">
        <f>Table1[[#This Row],[Water after evaporation (with glass)]]-Table1[[#This Row],[Glass weight (w/o water)]]</f>
        <v>17.990000000000002</v>
      </c>
      <c r="J31" s="38">
        <f>Table1[[#This Row],[Water weight after evaporation (w/o glass)]]/Table1[[#This Row],[Water weight initial (w/o glass)]]</f>
        <v>0.45706300813008138</v>
      </c>
    </row>
    <row r="32" spans="2:10" x14ac:dyDescent="0.45">
      <c r="B32" s="11">
        <v>26</v>
      </c>
      <c r="C32" s="12">
        <f t="shared" si="0"/>
        <v>3.9583333333333331E-2</v>
      </c>
      <c r="D32" s="13">
        <f t="shared" si="0"/>
        <v>41.6</v>
      </c>
      <c r="E32" s="13">
        <v>33.07</v>
      </c>
      <c r="F32" s="13">
        <f>72.41-Table1[[#This Row],[Glass weight (w/o water)]]</f>
        <v>39.339999999999996</v>
      </c>
      <c r="G32" s="13">
        <v>72.41</v>
      </c>
      <c r="H32" s="13">
        <v>47.63</v>
      </c>
      <c r="I32" s="13">
        <f>Table1[[#This Row],[Water after evaporation (with glass)]]-Table1[[#This Row],[Glass weight (w/o water)]]</f>
        <v>14.560000000000002</v>
      </c>
      <c r="J32" s="38">
        <f>Table1[[#This Row],[Water weight after evaporation (w/o glass)]]/Table1[[#This Row],[Water weight initial (w/o glass)]]</f>
        <v>0.37010676156583638</v>
      </c>
    </row>
    <row r="33" spans="2:10" x14ac:dyDescent="0.45">
      <c r="B33" s="11">
        <v>27</v>
      </c>
      <c r="C33" s="12">
        <v>0.38541666666666669</v>
      </c>
      <c r="D33" s="13">
        <v>46.2</v>
      </c>
      <c r="E33" s="13">
        <v>34</v>
      </c>
      <c r="F33" s="13">
        <f>73.02-Table1[[#This Row],[Glass weight (w/o water)]]</f>
        <v>39.019999999999996</v>
      </c>
      <c r="G33" s="13">
        <v>73.02</v>
      </c>
      <c r="H33" s="13">
        <v>37.74</v>
      </c>
      <c r="I33" s="13">
        <f>Table1[[#This Row],[Water after evaporation (with glass)]]-Table1[[#This Row],[Glass weight (w/o water)]]</f>
        <v>3.740000000000002</v>
      </c>
      <c r="J33" s="38">
        <f>Table1[[#This Row],[Water weight after evaporation (w/o glass)]]/Table1[[#This Row],[Water weight initial (w/o glass)]]</f>
        <v>9.5848282931829898E-2</v>
      </c>
    </row>
    <row r="34" spans="2:10" x14ac:dyDescent="0.45">
      <c r="B34" s="11">
        <v>28</v>
      </c>
      <c r="C34" s="12">
        <v>0.44861111111111113</v>
      </c>
      <c r="D34" s="13">
        <v>47.6</v>
      </c>
      <c r="E34" s="13">
        <v>33.36</v>
      </c>
      <c r="F34" s="13">
        <f>73.54-Table1[[#This Row],[Glass weight (w/o water)]]</f>
        <v>40.180000000000007</v>
      </c>
      <c r="G34" s="13">
        <v>73.540000000000006</v>
      </c>
      <c r="H34" s="13">
        <v>35</v>
      </c>
      <c r="I34" s="13">
        <f>Table1[[#This Row],[Water after evaporation (with glass)]]-Table1[[#This Row],[Glass weight (w/o water)]]</f>
        <v>1.6400000000000006</v>
      </c>
      <c r="J34" s="38">
        <f>Table1[[#This Row],[Water weight after evaporation (w/o glass)]]/Table1[[#This Row],[Water weight initial (w/o glass)]]</f>
        <v>4.0816326530612256E-2</v>
      </c>
    </row>
    <row r="35" spans="2:10" x14ac:dyDescent="0.45">
      <c r="B35" s="11">
        <v>29</v>
      </c>
      <c r="C35" s="12">
        <v>0.25486111111111109</v>
      </c>
      <c r="D35" s="13">
        <f>D18</f>
        <v>46.1</v>
      </c>
      <c r="E35" s="13">
        <v>33.119999999999997</v>
      </c>
      <c r="F35" s="13">
        <f>73.13-Table1[[#This Row],[Glass weight (w/o water)]]</f>
        <v>40.01</v>
      </c>
      <c r="G35" s="13">
        <v>73.13</v>
      </c>
      <c r="H35" s="13">
        <v>40.64</v>
      </c>
      <c r="I35" s="13">
        <f>Table1[[#This Row],[Water after evaporation (with glass)]]-Table1[[#This Row],[Glass weight (w/o water)]]</f>
        <v>7.5200000000000031</v>
      </c>
      <c r="J35" s="38">
        <f>Table1[[#This Row],[Water weight after evaporation (w/o glass)]]/Table1[[#This Row],[Water weight initial (w/o glass)]]</f>
        <v>0.18795301174706333</v>
      </c>
    </row>
    <row r="36" spans="2:10" x14ac:dyDescent="0.45">
      <c r="B36" s="11">
        <v>30</v>
      </c>
      <c r="C36" s="12">
        <f>C19</f>
        <v>0.16875000000000001</v>
      </c>
      <c r="D36" s="13">
        <f>D19</f>
        <v>41.3</v>
      </c>
      <c r="E36" s="13">
        <v>33.35</v>
      </c>
      <c r="F36" s="13">
        <f>76.67-Table1[[#This Row],[Glass weight (w/o water)]]</f>
        <v>43.32</v>
      </c>
      <c r="G36" s="13">
        <v>76.67</v>
      </c>
      <c r="H36" s="13">
        <v>48.78</v>
      </c>
      <c r="I36" s="13">
        <f>Table1[[#This Row],[Water after evaporation (with glass)]]-Table1[[#This Row],[Glass weight (w/o water)]]</f>
        <v>15.43</v>
      </c>
      <c r="J36" s="38">
        <f>Table1[[#This Row],[Water weight after evaporation (w/o glass)]]/Table1[[#This Row],[Water weight initial (w/o glass)]]</f>
        <v>0.35618651892890119</v>
      </c>
    </row>
    <row r="37" spans="2:10" x14ac:dyDescent="0.45">
      <c r="B37" s="11">
        <v>31</v>
      </c>
      <c r="C37" s="12">
        <v>0.40625</v>
      </c>
      <c r="D37" s="13">
        <v>45.9</v>
      </c>
      <c r="E37" s="13">
        <v>32.520000000000003</v>
      </c>
      <c r="F37" s="13">
        <f>71.26-Table1[[#This Row],[Glass weight (w/o water)]]</f>
        <v>38.74</v>
      </c>
      <c r="G37" s="13">
        <v>71.260000000000005</v>
      </c>
      <c r="H37" s="13">
        <v>35.35</v>
      </c>
      <c r="I37" s="13">
        <f>Table1[[#This Row],[Water after evaporation (with glass)]]-Table1[[#This Row],[Glass weight (w/o water)]]</f>
        <v>2.8299999999999983</v>
      </c>
      <c r="J37" s="38">
        <f>Table1[[#This Row],[Water weight after evaporation (w/o glass)]]/Table1[[#This Row],[Water weight initial (w/o glass)]]</f>
        <v>7.3051109963861591E-2</v>
      </c>
    </row>
    <row r="43" spans="2:10" x14ac:dyDescent="0.45">
      <c r="B43" s="2"/>
    </row>
  </sheetData>
  <mergeCells count="2">
    <mergeCell ref="E2:G2"/>
    <mergeCell ref="H2:J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84892-EC0E-402F-A861-13D4304E5471}">
  <dimension ref="A1:P25"/>
  <sheetViews>
    <sheetView zoomScale="95" workbookViewId="0">
      <selection activeCell="P2" sqref="P2"/>
    </sheetView>
  </sheetViews>
  <sheetFormatPr defaultRowHeight="14.25" x14ac:dyDescent="0.45"/>
  <cols>
    <col min="2" max="2" width="16.1328125" bestFit="1" customWidth="1"/>
    <col min="13" max="13" width="11.1328125" bestFit="1" customWidth="1"/>
    <col min="16" max="16" width="16.1328125" bestFit="1" customWidth="1"/>
  </cols>
  <sheetData>
    <row r="1" spans="1:16" ht="126.4" thickBot="1" x14ac:dyDescent="0.5">
      <c r="A1" s="23" t="s">
        <v>0</v>
      </c>
      <c r="B1" s="23" t="s">
        <v>1</v>
      </c>
      <c r="C1" s="23" t="s">
        <v>2</v>
      </c>
      <c r="D1" s="23" t="s">
        <v>14</v>
      </c>
      <c r="E1" s="23" t="s">
        <v>15</v>
      </c>
      <c r="F1" s="23" t="s">
        <v>13</v>
      </c>
      <c r="G1" s="24" t="s">
        <v>12</v>
      </c>
      <c r="H1" s="23" t="s">
        <v>18</v>
      </c>
      <c r="I1" s="23" t="s">
        <v>11</v>
      </c>
      <c r="J1" s="23" t="s">
        <v>4</v>
      </c>
      <c r="K1" s="23" t="s">
        <v>5</v>
      </c>
    </row>
    <row r="2" spans="1:16" x14ac:dyDescent="0.45">
      <c r="A2" s="26">
        <v>0</v>
      </c>
      <c r="B2" s="31">
        <v>46080.29791666667</v>
      </c>
      <c r="C2" s="14">
        <v>39.200000000000003</v>
      </c>
      <c r="D2" s="14">
        <v>32.56</v>
      </c>
      <c r="E2" s="14">
        <v>40.149999999999991</v>
      </c>
      <c r="F2" s="27">
        <v>72.709999999999994</v>
      </c>
      <c r="G2" s="27">
        <v>72.709999999999994</v>
      </c>
      <c r="H2" s="14">
        <v>40.149999999999991</v>
      </c>
      <c r="I2" s="14">
        <v>1</v>
      </c>
      <c r="J2" s="14"/>
      <c r="K2" s="14"/>
      <c r="M2" s="30"/>
      <c r="P2" s="34"/>
    </row>
    <row r="3" spans="1:16" x14ac:dyDescent="0.45">
      <c r="A3" s="28">
        <v>1</v>
      </c>
      <c r="B3" s="32">
        <v>46080.361805555556</v>
      </c>
      <c r="C3" s="15">
        <v>41.1</v>
      </c>
      <c r="D3" s="15">
        <v>31.15</v>
      </c>
      <c r="E3" s="15">
        <v>38.080000000000005</v>
      </c>
      <c r="F3" s="29">
        <v>69.23</v>
      </c>
      <c r="G3" s="29">
        <v>67.61</v>
      </c>
      <c r="H3" s="15">
        <v>36.46</v>
      </c>
      <c r="I3" s="15">
        <v>0.95745798319327724</v>
      </c>
      <c r="J3" s="15"/>
      <c r="K3" s="15"/>
      <c r="M3" s="30"/>
    </row>
    <row r="4" spans="1:16" x14ac:dyDescent="0.45">
      <c r="A4" s="26">
        <v>2</v>
      </c>
      <c r="B4" s="31">
        <v>46080.428472222222</v>
      </c>
      <c r="C4" s="14">
        <v>41.8</v>
      </c>
      <c r="D4" s="14">
        <v>32.08</v>
      </c>
      <c r="E4" s="14">
        <v>40.150000000000006</v>
      </c>
      <c r="F4" s="27">
        <v>72.23</v>
      </c>
      <c r="G4" s="27">
        <v>67.88</v>
      </c>
      <c r="H4" s="14">
        <v>35.799999999999997</v>
      </c>
      <c r="I4" s="14">
        <v>0.89165628891656268</v>
      </c>
      <c r="J4" s="14"/>
      <c r="K4" s="14"/>
      <c r="M4" s="30"/>
    </row>
    <row r="5" spans="1:16" x14ac:dyDescent="0.45">
      <c r="A5" s="28">
        <v>3</v>
      </c>
      <c r="B5" s="32">
        <v>46080.493055555555</v>
      </c>
      <c r="C5" s="15">
        <v>41.7</v>
      </c>
      <c r="D5" s="15">
        <v>32.81</v>
      </c>
      <c r="E5" s="15">
        <v>48.959999999999994</v>
      </c>
      <c r="F5" s="29">
        <v>81.77</v>
      </c>
      <c r="G5" s="29">
        <v>74.959999999999994</v>
      </c>
      <c r="H5" s="15">
        <v>42.149999999999991</v>
      </c>
      <c r="I5" s="15">
        <v>0.86090686274509798</v>
      </c>
      <c r="J5" s="15"/>
      <c r="K5" s="15"/>
      <c r="M5" s="30"/>
    </row>
    <row r="6" spans="1:16" x14ac:dyDescent="0.45">
      <c r="A6" s="26">
        <v>4</v>
      </c>
      <c r="B6" s="31">
        <v>46080.559027777781</v>
      </c>
      <c r="C6" s="14">
        <v>42.1</v>
      </c>
      <c r="D6" s="14">
        <v>34.979999999999997</v>
      </c>
      <c r="E6" s="14">
        <v>42.160000000000004</v>
      </c>
      <c r="F6" s="27">
        <v>77.14</v>
      </c>
      <c r="G6" s="27">
        <v>68.52</v>
      </c>
      <c r="H6" s="14">
        <v>33.54</v>
      </c>
      <c r="I6" s="14">
        <v>0.79554079696394675</v>
      </c>
      <c r="J6" s="14"/>
      <c r="K6" s="14"/>
      <c r="M6" s="30"/>
    </row>
    <row r="7" spans="1:16" x14ac:dyDescent="0.45">
      <c r="A7" s="28">
        <v>5</v>
      </c>
      <c r="B7" s="32">
        <v>46080.65</v>
      </c>
      <c r="C7" s="15">
        <v>41.9</v>
      </c>
      <c r="D7" s="15">
        <v>34.56</v>
      </c>
      <c r="E7" s="15">
        <v>41.209999999999994</v>
      </c>
      <c r="F7" s="29">
        <v>75.77</v>
      </c>
      <c r="G7" s="29">
        <v>63.72</v>
      </c>
      <c r="H7" s="15">
        <v>29.159999999999997</v>
      </c>
      <c r="I7" s="15">
        <v>0.70759524387284645</v>
      </c>
      <c r="J7" s="15"/>
      <c r="K7" s="15"/>
      <c r="M7" s="30"/>
    </row>
    <row r="8" spans="1:16" x14ac:dyDescent="0.45">
      <c r="A8" s="26">
        <v>6</v>
      </c>
      <c r="B8" s="31">
        <v>46080.718055555553</v>
      </c>
      <c r="C8" s="14">
        <v>41.7</v>
      </c>
      <c r="D8" s="14">
        <v>33.07</v>
      </c>
      <c r="E8" s="14">
        <v>41.529999999999994</v>
      </c>
      <c r="F8" s="14">
        <v>59.55</v>
      </c>
      <c r="G8" s="14">
        <v>59.55</v>
      </c>
      <c r="H8" s="14">
        <v>26.479999999999997</v>
      </c>
      <c r="I8" s="14">
        <v>0.63761136527811224</v>
      </c>
      <c r="J8" s="14"/>
      <c r="K8" s="14"/>
      <c r="M8" s="30"/>
    </row>
    <row r="9" spans="1:16" x14ac:dyDescent="0.45">
      <c r="A9" s="28">
        <v>7</v>
      </c>
      <c r="B9" s="32">
        <v>46080.79583333333</v>
      </c>
      <c r="C9" s="15">
        <v>41.6</v>
      </c>
      <c r="D9" s="15">
        <v>33.47</v>
      </c>
      <c r="E9" s="15">
        <v>42.69</v>
      </c>
      <c r="F9" s="15">
        <v>76.16</v>
      </c>
      <c r="G9" s="15">
        <v>58.87</v>
      </c>
      <c r="H9" s="15">
        <v>25.4</v>
      </c>
      <c r="I9" s="15">
        <v>0.59498711642070745</v>
      </c>
      <c r="J9" s="15"/>
      <c r="K9" s="15"/>
      <c r="M9" s="30"/>
    </row>
    <row r="10" spans="1:16" x14ac:dyDescent="0.45">
      <c r="A10" s="28">
        <v>9</v>
      </c>
      <c r="B10" s="32">
        <v>46080.97152777778</v>
      </c>
      <c r="C10" s="15">
        <v>41.2</v>
      </c>
      <c r="D10" s="15">
        <v>34.56</v>
      </c>
      <c r="E10" s="15">
        <v>45.83</v>
      </c>
      <c r="F10" s="15">
        <v>80.39</v>
      </c>
      <c r="G10" s="15">
        <v>56.6</v>
      </c>
      <c r="H10" s="15">
        <v>22.04</v>
      </c>
      <c r="I10" s="15">
        <v>0.48090770237835478</v>
      </c>
      <c r="J10" s="15"/>
      <c r="K10" s="15"/>
      <c r="M10" s="30"/>
    </row>
    <row r="11" spans="1:16" x14ac:dyDescent="0.45">
      <c r="A11" s="26">
        <v>8</v>
      </c>
      <c r="B11" s="31">
        <v>46080.881944444445</v>
      </c>
      <c r="C11" s="14">
        <v>41.2</v>
      </c>
      <c r="D11" s="14">
        <v>33.090000000000003</v>
      </c>
      <c r="E11" s="14">
        <v>37.759999999999991</v>
      </c>
      <c r="F11" s="14">
        <v>70.849999999999994</v>
      </c>
      <c r="G11" s="14">
        <v>46.97</v>
      </c>
      <c r="H11" s="14">
        <v>13.879999999999995</v>
      </c>
      <c r="I11" s="14">
        <v>0.36758474576271183</v>
      </c>
      <c r="J11" s="14"/>
      <c r="K11" s="14"/>
      <c r="M11" s="30"/>
    </row>
    <row r="12" spans="1:16" x14ac:dyDescent="0.45">
      <c r="A12" s="26">
        <v>10</v>
      </c>
      <c r="B12" s="31">
        <v>46081.039583333331</v>
      </c>
      <c r="C12" s="14">
        <v>41.6</v>
      </c>
      <c r="D12" s="14">
        <v>32.43</v>
      </c>
      <c r="E12" s="14">
        <v>38.669999999999995</v>
      </c>
      <c r="F12" s="14">
        <v>71.099999999999994</v>
      </c>
      <c r="G12" s="14">
        <v>43.85</v>
      </c>
      <c r="H12" s="14">
        <v>11.420000000000002</v>
      </c>
      <c r="I12" s="14">
        <v>0.29531936901991218</v>
      </c>
      <c r="J12" s="14"/>
      <c r="K12" s="14"/>
      <c r="M12" s="30"/>
    </row>
    <row r="13" spans="1:16" x14ac:dyDescent="0.45">
      <c r="A13" s="26">
        <v>14</v>
      </c>
      <c r="B13" s="31">
        <v>46081.168749999997</v>
      </c>
      <c r="C13" s="14">
        <v>41.3</v>
      </c>
      <c r="D13" s="14">
        <v>34.630000000000003</v>
      </c>
      <c r="E13" s="14">
        <v>37.639999999999993</v>
      </c>
      <c r="F13" s="14">
        <v>72.27</v>
      </c>
      <c r="G13" s="14">
        <v>41.19</v>
      </c>
      <c r="H13" s="14">
        <v>6.5599999999999952</v>
      </c>
      <c r="I13" s="14">
        <v>0.1742826780021253</v>
      </c>
      <c r="J13" s="14"/>
      <c r="K13" s="14"/>
      <c r="M13" s="30"/>
    </row>
    <row r="14" spans="1:16" x14ac:dyDescent="0.45">
      <c r="A14" s="28">
        <v>13</v>
      </c>
      <c r="B14" s="32">
        <v>46081.381944444445</v>
      </c>
      <c r="C14" s="15">
        <v>46.1</v>
      </c>
      <c r="D14" s="15">
        <v>32.61</v>
      </c>
      <c r="E14" s="15">
        <v>38.680000000000007</v>
      </c>
      <c r="F14" s="15">
        <v>71.290000000000006</v>
      </c>
      <c r="G14" s="15">
        <v>36.25</v>
      </c>
      <c r="H14" s="15">
        <v>3.6400000000000006</v>
      </c>
      <c r="I14" s="15">
        <v>9.4105480868665978E-2</v>
      </c>
      <c r="J14" s="15"/>
      <c r="K14" s="15"/>
      <c r="M14" s="30"/>
    </row>
    <row r="15" spans="1:16" x14ac:dyDescent="0.45">
      <c r="A15" s="26">
        <v>12</v>
      </c>
      <c r="B15" s="31">
        <v>46081.432638888888</v>
      </c>
      <c r="C15" s="14">
        <v>45.6</v>
      </c>
      <c r="D15" s="14">
        <v>32</v>
      </c>
      <c r="E15" s="14">
        <v>40.08</v>
      </c>
      <c r="F15" s="14">
        <v>72.08</v>
      </c>
      <c r="G15" s="14">
        <v>34.770000000000003</v>
      </c>
      <c r="H15" s="14">
        <v>2.7700000000000031</v>
      </c>
      <c r="I15" s="21">
        <v>6.9111776447105866E-2</v>
      </c>
      <c r="J15" s="14"/>
      <c r="K15" s="14"/>
      <c r="M15" s="30"/>
    </row>
    <row r="16" spans="1:16" x14ac:dyDescent="0.45">
      <c r="A16" s="28">
        <v>15</v>
      </c>
      <c r="B16" s="32">
        <v>46081.486805555556</v>
      </c>
      <c r="C16" s="15">
        <v>50.6</v>
      </c>
      <c r="D16" s="15">
        <v>32.409999999999997</v>
      </c>
      <c r="E16" s="15">
        <v>40.980000000000004</v>
      </c>
      <c r="F16" s="15">
        <v>73.39</v>
      </c>
      <c r="G16">
        <v>34.950000000000003</v>
      </c>
      <c r="H16" s="15">
        <v>2.5400000000000063</v>
      </c>
      <c r="I16" s="15">
        <v>6.198145436798453E-2</v>
      </c>
      <c r="J16" s="22"/>
      <c r="K16" s="22"/>
      <c r="M16" s="30"/>
    </row>
    <row r="17" spans="1:13" x14ac:dyDescent="0.45">
      <c r="A17" s="28">
        <v>11</v>
      </c>
      <c r="B17" s="32">
        <v>46081.479166666664</v>
      </c>
      <c r="C17" s="15">
        <v>50.4</v>
      </c>
      <c r="D17" s="15">
        <v>32.11</v>
      </c>
      <c r="E17" s="15">
        <v>38.53</v>
      </c>
      <c r="F17" s="15">
        <v>70.64</v>
      </c>
      <c r="G17" s="15">
        <v>33.909999999999997</v>
      </c>
      <c r="H17" s="15">
        <v>1.7999999999999972</v>
      </c>
      <c r="I17" s="15">
        <v>4.6716844017648508E-2</v>
      </c>
      <c r="J17" s="22"/>
      <c r="K17" s="22"/>
      <c r="M17" s="30"/>
    </row>
    <row r="18" spans="1:13" ht="15.75" x14ac:dyDescent="0.5">
      <c r="A18" s="16" t="s">
        <v>10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25" spans="1:13" x14ac:dyDescent="0.45">
      <c r="L25" t="s">
        <v>19</v>
      </c>
    </row>
  </sheetData>
  <autoFilter ref="A1:K18" xr:uid="{26284892-EC0E-402F-A861-13D4304E5471}">
    <sortState xmlns:xlrd2="http://schemas.microsoft.com/office/spreadsheetml/2017/richdata2" ref="A2:K18">
      <sortCondition descending="1" ref="I1:I1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13A60-D8C5-4F05-9791-86E19741D8FD}">
  <dimension ref="A1:O17"/>
  <sheetViews>
    <sheetView workbookViewId="0">
      <selection activeCell="K2" sqref="K2"/>
    </sheetView>
  </sheetViews>
  <sheetFormatPr defaultRowHeight="14.25" x14ac:dyDescent="0.45"/>
  <cols>
    <col min="1" max="1" width="14" bestFit="1" customWidth="1"/>
    <col min="2" max="2" width="15.59765625" bestFit="1" customWidth="1"/>
    <col min="11" max="11" width="24" bestFit="1" customWidth="1"/>
    <col min="14" max="14" width="15.59765625" bestFit="1" customWidth="1"/>
    <col min="15" max="15" width="10.3984375" bestFit="1" customWidth="1"/>
  </cols>
  <sheetData>
    <row r="1" spans="1:15" ht="85.9" x14ac:dyDescent="0.5">
      <c r="A1" s="16" t="s">
        <v>9</v>
      </c>
      <c r="B1" s="25" t="s">
        <v>1</v>
      </c>
      <c r="C1" s="25" t="s">
        <v>2</v>
      </c>
      <c r="D1" s="25" t="s">
        <v>14</v>
      </c>
      <c r="E1" s="25" t="s">
        <v>15</v>
      </c>
      <c r="F1" s="25" t="s">
        <v>13</v>
      </c>
      <c r="G1" s="25" t="s">
        <v>12</v>
      </c>
      <c r="H1" s="25" t="s">
        <v>18</v>
      </c>
      <c r="I1" s="25" t="s">
        <v>11</v>
      </c>
    </row>
    <row r="2" spans="1:15" x14ac:dyDescent="0.45">
      <c r="A2" s="18">
        <v>16</v>
      </c>
      <c r="B2" s="35">
        <v>46080.29791666667</v>
      </c>
      <c r="C2" s="19">
        <v>39.200000000000003</v>
      </c>
      <c r="D2" s="19">
        <v>32.020000000000003</v>
      </c>
      <c r="E2" s="19">
        <v>46.160000000000004</v>
      </c>
      <c r="F2" s="19">
        <v>78.180000000000007</v>
      </c>
      <c r="G2" s="19">
        <v>78.180000000000007</v>
      </c>
      <c r="H2" s="19">
        <v>46.160000000000004</v>
      </c>
      <c r="I2" s="19">
        <v>1</v>
      </c>
      <c r="K2" s="30"/>
      <c r="N2" s="34"/>
      <c r="O2" s="33"/>
    </row>
    <row r="3" spans="1:15" x14ac:dyDescent="0.45">
      <c r="A3" s="20">
        <v>17</v>
      </c>
      <c r="B3" s="36">
        <v>46080.361805555556</v>
      </c>
      <c r="C3" s="21">
        <v>41.1</v>
      </c>
      <c r="D3" s="21">
        <v>32.69</v>
      </c>
      <c r="E3" s="21">
        <v>41.740000000000009</v>
      </c>
      <c r="F3" s="21">
        <v>74.430000000000007</v>
      </c>
      <c r="G3" s="21">
        <v>73</v>
      </c>
      <c r="H3" s="21">
        <v>40.31</v>
      </c>
      <c r="I3" s="21">
        <v>0.96574029707714404</v>
      </c>
      <c r="K3" s="30"/>
      <c r="O3" s="33"/>
    </row>
    <row r="4" spans="1:15" x14ac:dyDescent="0.45">
      <c r="A4" s="18">
        <v>18</v>
      </c>
      <c r="B4" s="35">
        <v>46080.428472222222</v>
      </c>
      <c r="C4" s="19">
        <v>41.8</v>
      </c>
      <c r="D4" s="19">
        <v>33.79</v>
      </c>
      <c r="E4" s="19">
        <v>40.470000000000006</v>
      </c>
      <c r="F4" s="19">
        <v>74.260000000000005</v>
      </c>
      <c r="G4" s="19">
        <v>69.510000000000005</v>
      </c>
      <c r="H4" s="19">
        <v>35.720000000000006</v>
      </c>
      <c r="I4" s="19">
        <v>0.88262910798122063</v>
      </c>
      <c r="K4" s="30"/>
      <c r="O4" s="33"/>
    </row>
    <row r="5" spans="1:15" x14ac:dyDescent="0.45">
      <c r="A5" s="20">
        <v>19</v>
      </c>
      <c r="B5" s="36">
        <v>46080.493055555555</v>
      </c>
      <c r="C5" s="21">
        <v>41.7</v>
      </c>
      <c r="D5" s="21">
        <v>33.119999999999997</v>
      </c>
      <c r="E5" s="21">
        <v>39.110000000000007</v>
      </c>
      <c r="F5" s="21">
        <v>72.23</v>
      </c>
      <c r="G5" s="21">
        <v>66.16</v>
      </c>
      <c r="H5" s="21">
        <v>33.04</v>
      </c>
      <c r="I5" s="21">
        <v>0.8447967271797493</v>
      </c>
      <c r="K5" s="30"/>
      <c r="O5" s="33"/>
    </row>
    <row r="6" spans="1:15" x14ac:dyDescent="0.45">
      <c r="A6" s="18">
        <v>20</v>
      </c>
      <c r="B6" s="35">
        <v>46080.559027777781</v>
      </c>
      <c r="C6" s="19">
        <v>42.1</v>
      </c>
      <c r="D6" s="19">
        <v>32.6</v>
      </c>
      <c r="E6" s="19">
        <v>42.15</v>
      </c>
      <c r="F6" s="19">
        <v>74.75</v>
      </c>
      <c r="G6" s="19">
        <v>67.03</v>
      </c>
      <c r="H6" s="19">
        <v>34.43</v>
      </c>
      <c r="I6" s="19">
        <v>0.81684460260972713</v>
      </c>
      <c r="K6" s="30"/>
      <c r="O6" s="33"/>
    </row>
    <row r="7" spans="1:15" x14ac:dyDescent="0.45">
      <c r="A7" s="20">
        <v>21</v>
      </c>
      <c r="B7" s="36">
        <v>46080.65</v>
      </c>
      <c r="C7" s="21">
        <v>41.9</v>
      </c>
      <c r="D7" s="21">
        <v>33.619999999999997</v>
      </c>
      <c r="E7" s="21">
        <v>42.300000000000004</v>
      </c>
      <c r="F7" s="21">
        <v>75.92</v>
      </c>
      <c r="G7" s="21">
        <v>64.7</v>
      </c>
      <c r="H7" s="21">
        <v>31.080000000000005</v>
      </c>
      <c r="I7" s="21">
        <v>0.73475177304964545</v>
      </c>
      <c r="K7" s="30"/>
      <c r="O7" s="33"/>
    </row>
    <row r="8" spans="1:15" x14ac:dyDescent="0.45">
      <c r="A8" s="18">
        <v>24</v>
      </c>
      <c r="B8" s="35">
        <v>46080.881944444445</v>
      </c>
      <c r="C8" s="19">
        <v>41.2</v>
      </c>
      <c r="D8" s="19">
        <v>34.51</v>
      </c>
      <c r="E8" s="19">
        <v>42.18</v>
      </c>
      <c r="F8" s="19">
        <v>76.69</v>
      </c>
      <c r="G8" s="19">
        <v>59.18</v>
      </c>
      <c r="H8" s="19">
        <v>24.67</v>
      </c>
      <c r="I8" s="19">
        <v>0.58487434803224281</v>
      </c>
      <c r="K8" s="30"/>
      <c r="O8" s="33"/>
    </row>
    <row r="9" spans="1:15" x14ac:dyDescent="0.45">
      <c r="A9" s="18">
        <v>22</v>
      </c>
      <c r="B9" s="35">
        <v>46080.718055555553</v>
      </c>
      <c r="C9" s="19">
        <v>41.7</v>
      </c>
      <c r="D9" s="19">
        <v>34.380000000000003</v>
      </c>
      <c r="E9" s="19">
        <v>38.449999999999996</v>
      </c>
      <c r="F9" s="19">
        <v>72.83</v>
      </c>
      <c r="G9" s="19">
        <v>55.21</v>
      </c>
      <c r="H9" s="19">
        <v>20.83</v>
      </c>
      <c r="I9" s="19">
        <v>0.54174252275682711</v>
      </c>
      <c r="K9" s="30"/>
      <c r="O9" s="33"/>
    </row>
    <row r="10" spans="1:15" x14ac:dyDescent="0.45">
      <c r="A10" s="20">
        <v>23</v>
      </c>
      <c r="B10" s="36">
        <v>46080.79583333333</v>
      </c>
      <c r="C10" s="21">
        <v>41.6</v>
      </c>
      <c r="D10" s="21">
        <v>34.229999999999997</v>
      </c>
      <c r="E10" s="21">
        <v>38.21</v>
      </c>
      <c r="F10" s="21">
        <v>72.44</v>
      </c>
      <c r="G10" s="21">
        <v>54.54</v>
      </c>
      <c r="H10" s="21">
        <v>20.310000000000002</v>
      </c>
      <c r="I10" s="21">
        <v>0.53153624705574465</v>
      </c>
      <c r="K10" s="30"/>
      <c r="O10" s="33"/>
    </row>
    <row r="11" spans="1:15" x14ac:dyDescent="0.45">
      <c r="A11" s="20">
        <v>25</v>
      </c>
      <c r="B11" s="36">
        <v>46080.97152777778</v>
      </c>
      <c r="C11" s="21">
        <v>41.2</v>
      </c>
      <c r="D11" s="21">
        <v>34.11</v>
      </c>
      <c r="E11" s="21">
        <v>39.36</v>
      </c>
      <c r="F11" s="21">
        <v>73.47</v>
      </c>
      <c r="G11" s="21">
        <v>52.1</v>
      </c>
      <c r="H11" s="21">
        <v>17.990000000000002</v>
      </c>
      <c r="I11" s="21">
        <v>0.45706300813008138</v>
      </c>
      <c r="K11" s="30"/>
      <c r="O11" s="33"/>
    </row>
    <row r="12" spans="1:15" x14ac:dyDescent="0.45">
      <c r="A12" s="18">
        <v>26</v>
      </c>
      <c r="B12" s="35">
        <v>46081.039583333331</v>
      </c>
      <c r="C12" s="19">
        <v>41.6</v>
      </c>
      <c r="D12" s="19">
        <v>33.07</v>
      </c>
      <c r="E12" s="19">
        <v>39.339999999999996</v>
      </c>
      <c r="F12" s="19">
        <v>72.41</v>
      </c>
      <c r="G12" s="19">
        <v>47.63</v>
      </c>
      <c r="H12" s="19">
        <v>14.560000000000002</v>
      </c>
      <c r="I12" s="19">
        <v>0.37010676156583638</v>
      </c>
      <c r="K12" s="30"/>
      <c r="O12" s="33"/>
    </row>
    <row r="13" spans="1:15" x14ac:dyDescent="0.45">
      <c r="A13" s="18">
        <v>30</v>
      </c>
      <c r="B13" s="35">
        <v>46081.168749999997</v>
      </c>
      <c r="C13" s="19">
        <v>41.3</v>
      </c>
      <c r="D13" s="19">
        <v>33.35</v>
      </c>
      <c r="E13" s="19">
        <v>43.32</v>
      </c>
      <c r="F13" s="19">
        <v>76.67</v>
      </c>
      <c r="G13" s="19">
        <v>48.78</v>
      </c>
      <c r="H13" s="19">
        <v>15.43</v>
      </c>
      <c r="I13" s="19">
        <v>0.35618651892890119</v>
      </c>
      <c r="K13" s="30"/>
      <c r="O13" s="33"/>
    </row>
    <row r="14" spans="1:15" x14ac:dyDescent="0.45">
      <c r="A14" s="20">
        <v>29</v>
      </c>
      <c r="B14" s="36">
        <v>46081.254861111112</v>
      </c>
      <c r="C14" s="21">
        <v>41.1</v>
      </c>
      <c r="D14" s="21">
        <v>33.119999999999997</v>
      </c>
      <c r="E14" s="21">
        <v>40.01</v>
      </c>
      <c r="F14" s="21">
        <v>73.13</v>
      </c>
      <c r="G14" s="21">
        <v>40.64</v>
      </c>
      <c r="H14" s="21">
        <v>7.5200000000000031</v>
      </c>
      <c r="I14" s="21">
        <v>0.18795301174706333</v>
      </c>
      <c r="K14" s="30"/>
      <c r="O14" s="33"/>
    </row>
    <row r="15" spans="1:15" x14ac:dyDescent="0.45">
      <c r="A15" s="20">
        <v>27</v>
      </c>
      <c r="B15" s="36">
        <v>46081.385416666664</v>
      </c>
      <c r="C15" s="21">
        <v>46.2</v>
      </c>
      <c r="D15" s="21">
        <v>34</v>
      </c>
      <c r="E15" s="21">
        <v>39.019999999999996</v>
      </c>
      <c r="F15" s="21">
        <v>73.02</v>
      </c>
      <c r="G15" s="21">
        <v>37.74</v>
      </c>
      <c r="H15" s="21">
        <v>3.740000000000002</v>
      </c>
      <c r="I15" s="21">
        <v>9.5848282931829898E-2</v>
      </c>
      <c r="K15" s="30"/>
      <c r="O15" s="33"/>
    </row>
    <row r="16" spans="1:15" x14ac:dyDescent="0.45">
      <c r="A16" s="20">
        <v>31</v>
      </c>
      <c r="B16" s="36">
        <v>46081.40625</v>
      </c>
      <c r="C16" s="21">
        <v>45.9</v>
      </c>
      <c r="D16" s="21">
        <v>32.520000000000003</v>
      </c>
      <c r="E16" s="21">
        <v>38.74</v>
      </c>
      <c r="F16" s="21">
        <v>71.260000000000005</v>
      </c>
      <c r="G16" s="21">
        <v>35.35</v>
      </c>
      <c r="H16" s="21">
        <v>2.8299999999999983</v>
      </c>
      <c r="I16" s="21">
        <v>7.3051109963861591E-2</v>
      </c>
      <c r="K16" s="30"/>
      <c r="O16" s="33"/>
    </row>
    <row r="17" spans="1:15" x14ac:dyDescent="0.45">
      <c r="A17" s="18">
        <v>28</v>
      </c>
      <c r="B17" s="35">
        <v>46081.448611111111</v>
      </c>
      <c r="C17" s="19">
        <v>47.6</v>
      </c>
      <c r="D17" s="19">
        <v>33.36</v>
      </c>
      <c r="E17" s="19">
        <v>40.180000000000007</v>
      </c>
      <c r="F17" s="19">
        <v>73.540000000000006</v>
      </c>
      <c r="G17" s="19">
        <v>35</v>
      </c>
      <c r="H17" s="19">
        <v>1.6400000000000006</v>
      </c>
      <c r="I17" s="19">
        <v>4.0816326530612256E-2</v>
      </c>
      <c r="K17" s="30"/>
      <c r="O17" s="33"/>
    </row>
  </sheetData>
  <autoFilter ref="A1:I17" xr:uid="{74313A60-D8C5-4F05-9791-86E19741D8FD}">
    <sortState xmlns:xlrd2="http://schemas.microsoft.com/office/spreadsheetml/2017/richdata2" ref="A2:I17">
      <sortCondition descending="1" ref="I1:I17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73FF8-B621-4D7B-A200-2C025FAD51F3}">
  <dimension ref="B5:G29"/>
  <sheetViews>
    <sheetView workbookViewId="0">
      <selection activeCell="D13" sqref="D13"/>
    </sheetView>
  </sheetViews>
  <sheetFormatPr defaultRowHeight="14.25" x14ac:dyDescent="0.45"/>
  <cols>
    <col min="3" max="3" width="11.86328125" customWidth="1"/>
  </cols>
  <sheetData>
    <row r="5" spans="2:7" x14ac:dyDescent="0.45">
      <c r="B5" t="s">
        <v>1</v>
      </c>
      <c r="C5" t="s">
        <v>6</v>
      </c>
    </row>
    <row r="6" spans="2:7" x14ac:dyDescent="0.45">
      <c r="B6" s="2">
        <v>0.22708333333333333</v>
      </c>
      <c r="C6">
        <v>23.1</v>
      </c>
      <c r="E6" s="30"/>
      <c r="G6" s="30"/>
    </row>
    <row r="7" spans="2:7" x14ac:dyDescent="0.45">
      <c r="B7" s="2">
        <v>0.23055555555555557</v>
      </c>
      <c r="C7">
        <v>25.8</v>
      </c>
      <c r="E7" s="30"/>
      <c r="G7" s="30"/>
    </row>
    <row r="8" spans="2:7" x14ac:dyDescent="0.45">
      <c r="B8" s="2">
        <v>0.23472222222222222</v>
      </c>
      <c r="C8">
        <v>29.6</v>
      </c>
      <c r="E8" s="30"/>
      <c r="G8" s="30"/>
    </row>
    <row r="9" spans="2:7" x14ac:dyDescent="0.45">
      <c r="B9" s="2">
        <v>0.23819444444444443</v>
      </c>
      <c r="C9">
        <v>32</v>
      </c>
      <c r="E9" s="30"/>
      <c r="G9" s="30"/>
    </row>
    <row r="10" spans="2:7" x14ac:dyDescent="0.45">
      <c r="B10" s="2">
        <v>0.24166666666666667</v>
      </c>
      <c r="C10">
        <v>33.6</v>
      </c>
      <c r="E10" s="30"/>
      <c r="G10" s="30"/>
    </row>
    <row r="11" spans="2:7" x14ac:dyDescent="0.45">
      <c r="B11" s="2">
        <v>0.24513888888888888</v>
      </c>
      <c r="C11">
        <v>35.299999999999997</v>
      </c>
      <c r="E11" s="30"/>
      <c r="G11" s="30"/>
    </row>
    <row r="12" spans="2:7" x14ac:dyDescent="0.45">
      <c r="B12" s="2">
        <v>0.24861111111111112</v>
      </c>
      <c r="C12">
        <v>36.200000000000003</v>
      </c>
      <c r="E12" s="30"/>
      <c r="G12" s="30"/>
    </row>
    <row r="13" spans="2:7" x14ac:dyDescent="0.45">
      <c r="B13" s="2">
        <v>0.25208333333333333</v>
      </c>
      <c r="C13">
        <v>37</v>
      </c>
      <c r="E13" s="30"/>
      <c r="G13" s="30"/>
    </row>
    <row r="14" spans="2:7" x14ac:dyDescent="0.45">
      <c r="B14" s="2">
        <v>0.25555555555555554</v>
      </c>
      <c r="C14">
        <v>37.6</v>
      </c>
      <c r="E14" s="30"/>
      <c r="G14" s="30"/>
    </row>
    <row r="15" spans="2:7" x14ac:dyDescent="0.45">
      <c r="B15" s="2">
        <v>0.2590277777777778</v>
      </c>
      <c r="C15">
        <v>38</v>
      </c>
      <c r="E15" s="30"/>
      <c r="G15" s="30"/>
    </row>
    <row r="16" spans="2:7" x14ac:dyDescent="0.45">
      <c r="B16" s="2">
        <v>0.26250000000000001</v>
      </c>
      <c r="C16">
        <v>38.1</v>
      </c>
      <c r="E16" s="30"/>
      <c r="G16" s="30"/>
    </row>
    <row r="17" spans="2:7" x14ac:dyDescent="0.45">
      <c r="B17" s="2">
        <v>0.26597222222222222</v>
      </c>
      <c r="C17">
        <v>38.299999999999997</v>
      </c>
      <c r="E17" s="30"/>
      <c r="G17" s="30"/>
    </row>
    <row r="18" spans="2:7" x14ac:dyDescent="0.45">
      <c r="B18" s="2">
        <v>0.26944444444444443</v>
      </c>
      <c r="C18">
        <v>38.799999999999997</v>
      </c>
      <c r="E18" s="30"/>
      <c r="G18" s="30"/>
    </row>
    <row r="19" spans="2:7" x14ac:dyDescent="0.45">
      <c r="B19" s="2">
        <v>0.27291666666666664</v>
      </c>
      <c r="C19">
        <v>39</v>
      </c>
      <c r="E19" s="30"/>
      <c r="G19" s="30"/>
    </row>
    <row r="20" spans="2:7" x14ac:dyDescent="0.45">
      <c r="B20" s="2">
        <v>0.27638888888888891</v>
      </c>
      <c r="C20">
        <v>39.1</v>
      </c>
      <c r="E20" s="30"/>
      <c r="G20" s="30"/>
    </row>
    <row r="21" spans="2:7" x14ac:dyDescent="0.45">
      <c r="B21" s="2">
        <v>0.27986111111111112</v>
      </c>
      <c r="C21">
        <v>39</v>
      </c>
      <c r="E21" s="30"/>
      <c r="G21" s="30"/>
    </row>
    <row r="22" spans="2:7" x14ac:dyDescent="0.45">
      <c r="B22" s="2">
        <v>0.28333333333333333</v>
      </c>
      <c r="C22">
        <v>39.299999999999997</v>
      </c>
      <c r="E22" s="30"/>
      <c r="G22" s="30"/>
    </row>
    <row r="23" spans="2:7" x14ac:dyDescent="0.45">
      <c r="B23" s="2">
        <v>0.28680555555555554</v>
      </c>
      <c r="C23">
        <v>39.299999999999997</v>
      </c>
      <c r="E23" s="30"/>
      <c r="G23" s="30"/>
    </row>
    <row r="24" spans="2:7" x14ac:dyDescent="0.45">
      <c r="B24" s="2">
        <v>0.9243055555555556</v>
      </c>
      <c r="C24">
        <v>40.6</v>
      </c>
      <c r="E24" s="30"/>
      <c r="G24" s="30"/>
    </row>
    <row r="25" spans="2:7" x14ac:dyDescent="0.45">
      <c r="B25" s="2">
        <v>0.94097222222222221</v>
      </c>
      <c r="C25">
        <v>41.4</v>
      </c>
      <c r="E25" s="30"/>
      <c r="G25" s="30"/>
    </row>
    <row r="26" spans="2:7" x14ac:dyDescent="0.45">
      <c r="B26" s="2">
        <v>8.5416666666666669E-2</v>
      </c>
      <c r="C26">
        <v>41.6</v>
      </c>
      <c r="E26" s="30"/>
      <c r="G26" s="30"/>
    </row>
    <row r="27" spans="2:7" x14ac:dyDescent="0.45">
      <c r="B27" s="2">
        <v>0.19791666666666666</v>
      </c>
      <c r="C27">
        <v>41.4</v>
      </c>
      <c r="E27" s="30"/>
      <c r="G27" s="30"/>
    </row>
    <row r="28" spans="2:7" x14ac:dyDescent="0.45">
      <c r="B28" s="2">
        <v>0.31180555555555556</v>
      </c>
      <c r="C28">
        <v>41.2</v>
      </c>
      <c r="E28" s="30"/>
      <c r="G28" s="30"/>
    </row>
    <row r="29" spans="2:7" x14ac:dyDescent="0.45">
      <c r="E29" s="30"/>
      <c r="G29" s="30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8C36C-C50C-4978-926C-E250B038A510}">
  <dimension ref="B3:E37"/>
  <sheetViews>
    <sheetView workbookViewId="0">
      <selection activeCell="B19" sqref="B19"/>
    </sheetView>
  </sheetViews>
  <sheetFormatPr defaultRowHeight="14.25" x14ac:dyDescent="0.45"/>
  <cols>
    <col min="4" max="4" width="19.3984375" customWidth="1"/>
    <col min="5" max="5" width="16.73046875" customWidth="1"/>
    <col min="6" max="6" width="15" customWidth="1"/>
    <col min="7" max="7" width="19.86328125" bestFit="1" customWidth="1"/>
  </cols>
  <sheetData>
    <row r="3" spans="2:5" x14ac:dyDescent="0.45">
      <c r="B3" t="s">
        <v>7</v>
      </c>
      <c r="C3" t="s">
        <v>1</v>
      </c>
      <c r="D3" t="s">
        <v>3</v>
      </c>
      <c r="E3" t="s">
        <v>8</v>
      </c>
    </row>
    <row r="4" spans="2:5" x14ac:dyDescent="0.45">
      <c r="B4" s="10" t="s">
        <v>10</v>
      </c>
      <c r="C4" s="10"/>
      <c r="D4" s="10"/>
      <c r="E4" s="10"/>
    </row>
    <row r="5" spans="2:5" x14ac:dyDescent="0.45">
      <c r="B5" s="1">
        <v>0</v>
      </c>
      <c r="C5" s="3">
        <v>0.29791666666666666</v>
      </c>
      <c r="D5">
        <v>29.43</v>
      </c>
      <c r="E5">
        <v>40.14</v>
      </c>
    </row>
    <row r="6" spans="2:5" x14ac:dyDescent="0.45">
      <c r="B6" s="1">
        <v>1</v>
      </c>
      <c r="C6" s="3">
        <v>0.36180555555555555</v>
      </c>
      <c r="D6">
        <v>30.35</v>
      </c>
      <c r="E6">
        <v>41.9</v>
      </c>
    </row>
    <row r="7" spans="2:5" x14ac:dyDescent="0.45">
      <c r="B7" s="1">
        <v>2</v>
      </c>
      <c r="C7" s="3">
        <v>0.4284722222222222</v>
      </c>
      <c r="D7">
        <v>30.29</v>
      </c>
      <c r="E7">
        <v>40.29</v>
      </c>
    </row>
    <row r="8" spans="2:5" x14ac:dyDescent="0.45">
      <c r="B8" s="1">
        <v>3</v>
      </c>
      <c r="C8" s="3">
        <v>0.49305555555555558</v>
      </c>
      <c r="D8">
        <v>30.4</v>
      </c>
      <c r="E8">
        <v>40.17</v>
      </c>
    </row>
    <row r="9" spans="2:5" x14ac:dyDescent="0.45">
      <c r="B9" s="1">
        <v>4</v>
      </c>
      <c r="C9" s="3">
        <v>0.55902777777777779</v>
      </c>
      <c r="D9">
        <v>30.35</v>
      </c>
      <c r="E9">
        <v>40.909999999999997</v>
      </c>
    </row>
    <row r="10" spans="2:5" x14ac:dyDescent="0.45">
      <c r="B10" s="1">
        <v>5</v>
      </c>
      <c r="C10" s="3">
        <v>0.65</v>
      </c>
      <c r="D10">
        <v>29.46</v>
      </c>
      <c r="E10">
        <v>39.86</v>
      </c>
    </row>
    <row r="11" spans="2:5" x14ac:dyDescent="0.45">
      <c r="B11" s="1">
        <v>6</v>
      </c>
      <c r="C11" s="3">
        <v>0.71736111111111112</v>
      </c>
      <c r="D11">
        <v>29.53</v>
      </c>
      <c r="E11">
        <v>41.44</v>
      </c>
    </row>
    <row r="12" spans="2:5" x14ac:dyDescent="0.45">
      <c r="B12" s="1">
        <v>7</v>
      </c>
      <c r="C12" s="3">
        <v>0.79583333333333328</v>
      </c>
      <c r="D12">
        <v>29.38</v>
      </c>
      <c r="E12">
        <v>40.28</v>
      </c>
    </row>
    <row r="13" spans="2:5" x14ac:dyDescent="0.45">
      <c r="B13" s="1">
        <v>8</v>
      </c>
      <c r="C13" s="3">
        <v>0.88124999999999998</v>
      </c>
      <c r="D13">
        <v>30.29</v>
      </c>
      <c r="E13">
        <v>40.299999999999997</v>
      </c>
    </row>
    <row r="14" spans="2:5" x14ac:dyDescent="0.45">
      <c r="B14" s="1">
        <v>9</v>
      </c>
      <c r="C14" s="3">
        <v>0.97222222222222221</v>
      </c>
      <c r="D14">
        <v>29.44</v>
      </c>
      <c r="E14">
        <v>40.049999999999997</v>
      </c>
    </row>
    <row r="15" spans="2:5" x14ac:dyDescent="0.45">
      <c r="B15" s="1">
        <v>10</v>
      </c>
      <c r="C15" s="1"/>
      <c r="D15">
        <v>30.33</v>
      </c>
      <c r="E15">
        <v>39.729999999999997</v>
      </c>
    </row>
    <row r="16" spans="2:5" x14ac:dyDescent="0.45">
      <c r="B16" s="1">
        <v>11</v>
      </c>
      <c r="C16" s="1"/>
      <c r="D16">
        <v>30.23</v>
      </c>
    </row>
    <row r="17" spans="2:5" x14ac:dyDescent="0.45">
      <c r="B17" s="1">
        <v>12</v>
      </c>
      <c r="C17" s="1"/>
      <c r="D17">
        <v>29.47</v>
      </c>
    </row>
    <row r="18" spans="2:5" x14ac:dyDescent="0.45">
      <c r="B18" s="1">
        <v>13</v>
      </c>
      <c r="C18" s="1"/>
      <c r="D18">
        <v>29.45</v>
      </c>
      <c r="E18">
        <v>32.99</v>
      </c>
    </row>
    <row r="19" spans="2:5" x14ac:dyDescent="0.45">
      <c r="B19" s="1">
        <v>14</v>
      </c>
      <c r="C19" s="1"/>
      <c r="D19">
        <v>29.54</v>
      </c>
      <c r="E19">
        <v>35.97</v>
      </c>
    </row>
    <row r="20" spans="2:5" x14ac:dyDescent="0.45">
      <c r="B20" s="1">
        <v>15</v>
      </c>
      <c r="C20" s="1"/>
      <c r="D20">
        <v>30.34</v>
      </c>
    </row>
    <row r="21" spans="2:5" x14ac:dyDescent="0.45">
      <c r="B21" s="9" t="s">
        <v>9</v>
      </c>
      <c r="C21" s="9"/>
      <c r="D21" s="10"/>
      <c r="E21" s="10"/>
    </row>
    <row r="22" spans="2:5" x14ac:dyDescent="0.45">
      <c r="B22" s="1">
        <v>16</v>
      </c>
      <c r="C22" s="3">
        <f t="shared" ref="C22:C34" si="0">C5</f>
        <v>0.29791666666666666</v>
      </c>
      <c r="D22">
        <v>29.53</v>
      </c>
      <c r="E22">
        <v>40.96</v>
      </c>
    </row>
    <row r="23" spans="2:5" x14ac:dyDescent="0.45">
      <c r="B23" s="1">
        <v>17</v>
      </c>
      <c r="C23" s="3">
        <f t="shared" si="0"/>
        <v>0.36180555555555555</v>
      </c>
      <c r="D23">
        <v>30.39</v>
      </c>
      <c r="E23">
        <v>40.74</v>
      </c>
    </row>
    <row r="24" spans="2:5" x14ac:dyDescent="0.45">
      <c r="B24" s="1">
        <v>18</v>
      </c>
      <c r="C24" s="3">
        <f t="shared" si="0"/>
        <v>0.4284722222222222</v>
      </c>
      <c r="D24">
        <v>30.35</v>
      </c>
      <c r="E24">
        <v>41.41</v>
      </c>
    </row>
    <row r="25" spans="2:5" x14ac:dyDescent="0.45">
      <c r="B25" s="1">
        <v>19</v>
      </c>
      <c r="C25" s="3">
        <f t="shared" si="0"/>
        <v>0.49305555555555558</v>
      </c>
      <c r="D25">
        <v>29.49</v>
      </c>
      <c r="E25">
        <v>40.270000000000003</v>
      </c>
    </row>
    <row r="26" spans="2:5" x14ac:dyDescent="0.45">
      <c r="B26" s="1">
        <v>20</v>
      </c>
      <c r="C26" s="3">
        <f t="shared" si="0"/>
        <v>0.55902777777777779</v>
      </c>
      <c r="D26">
        <v>30.37</v>
      </c>
      <c r="E26">
        <v>40.799999999999997</v>
      </c>
    </row>
    <row r="27" spans="2:5" x14ac:dyDescent="0.45">
      <c r="B27" s="1">
        <v>21</v>
      </c>
      <c r="C27" s="3">
        <f t="shared" si="0"/>
        <v>0.65</v>
      </c>
      <c r="D27">
        <v>29.4</v>
      </c>
      <c r="E27">
        <v>40.36</v>
      </c>
    </row>
    <row r="28" spans="2:5" x14ac:dyDescent="0.45">
      <c r="B28" s="1">
        <v>22</v>
      </c>
      <c r="C28" s="3">
        <f t="shared" si="0"/>
        <v>0.71736111111111112</v>
      </c>
      <c r="D28">
        <v>29.52</v>
      </c>
      <c r="E28">
        <v>41.25</v>
      </c>
    </row>
    <row r="29" spans="2:5" x14ac:dyDescent="0.45">
      <c r="B29" s="1">
        <v>23</v>
      </c>
      <c r="C29" s="3">
        <f t="shared" si="0"/>
        <v>0.79583333333333328</v>
      </c>
      <c r="D29">
        <v>30.35</v>
      </c>
      <c r="E29">
        <v>40.950000000000003</v>
      </c>
    </row>
    <row r="30" spans="2:5" x14ac:dyDescent="0.45">
      <c r="B30" s="1">
        <v>24</v>
      </c>
      <c r="C30" s="3">
        <f t="shared" si="0"/>
        <v>0.88124999999999998</v>
      </c>
      <c r="D30">
        <v>30.28</v>
      </c>
      <c r="E30">
        <v>41.78</v>
      </c>
    </row>
    <row r="31" spans="2:5" x14ac:dyDescent="0.45">
      <c r="B31" s="1">
        <v>25</v>
      </c>
      <c r="C31" s="3">
        <f t="shared" si="0"/>
        <v>0.97222222222222221</v>
      </c>
      <c r="D31">
        <v>29.44</v>
      </c>
      <c r="E31">
        <v>40.92</v>
      </c>
    </row>
    <row r="32" spans="2:5" x14ac:dyDescent="0.45">
      <c r="B32" s="1">
        <v>26</v>
      </c>
      <c r="C32" s="3">
        <f t="shared" si="0"/>
        <v>0</v>
      </c>
      <c r="D32">
        <v>29.45</v>
      </c>
      <c r="E32">
        <v>41.14</v>
      </c>
    </row>
    <row r="33" spans="2:5" x14ac:dyDescent="0.45">
      <c r="B33" s="1">
        <v>27</v>
      </c>
      <c r="C33" s="3">
        <f t="shared" si="0"/>
        <v>0</v>
      </c>
      <c r="D33">
        <v>30.3</v>
      </c>
      <c r="E33">
        <v>41.41</v>
      </c>
    </row>
    <row r="34" spans="2:5" x14ac:dyDescent="0.45">
      <c r="B34" s="1">
        <v>28</v>
      </c>
      <c r="C34" s="3">
        <f t="shared" si="0"/>
        <v>0</v>
      </c>
      <c r="D34">
        <v>30.21</v>
      </c>
    </row>
    <row r="35" spans="2:5" x14ac:dyDescent="0.45">
      <c r="B35" s="1">
        <v>29</v>
      </c>
      <c r="C35" s="3">
        <v>0.25486111111111109</v>
      </c>
      <c r="D35">
        <v>30.4</v>
      </c>
      <c r="E35">
        <v>37.799999999999997</v>
      </c>
    </row>
    <row r="36" spans="2:5" x14ac:dyDescent="0.45">
      <c r="B36" s="1">
        <v>30</v>
      </c>
      <c r="C36" s="3">
        <f>C19</f>
        <v>0</v>
      </c>
      <c r="D36">
        <v>30.32</v>
      </c>
    </row>
    <row r="37" spans="2:5" x14ac:dyDescent="0.45">
      <c r="B37" s="1">
        <v>31</v>
      </c>
      <c r="C37" s="3">
        <f>C20</f>
        <v>0</v>
      </c>
      <c r="D37">
        <v>29.61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97f16d-8650-4435-a8d0-230644c2d31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BA253816168045A708280235C81F93" ma:contentTypeVersion="10" ma:contentTypeDescription="Create a new document." ma:contentTypeScope="" ma:versionID="8a2a722bfe23263d97f738f45a6964f3">
  <xsd:schema xmlns:xsd="http://www.w3.org/2001/XMLSchema" xmlns:xs="http://www.w3.org/2001/XMLSchema" xmlns:p="http://schemas.microsoft.com/office/2006/metadata/properties" xmlns:ns2="7197f16d-8650-4435-a8d0-230644c2d310" targetNamespace="http://schemas.microsoft.com/office/2006/metadata/properties" ma:root="true" ma:fieldsID="f4076e471700e7789f8ea49386fe2ce1" ns2:_="">
    <xsd:import namespace="7197f16d-8650-4435-a8d0-230644c2d3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97f16d-8650-4435-a8d0-230644c2d3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9DCBFF-88BE-4DB2-A075-EC6BD88B43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9FDAE1-32AE-484B-802A-33D38FAC5604}">
  <ds:schemaRefs>
    <ds:schemaRef ds:uri="7197f16d-8650-4435-a8d0-230644c2d310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4279AB7-68CE-42D0-80F9-BBC3A349FE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97f16d-8650-4435-a8d0-230644c2d3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3927f91-cda1-4696-af89-8c9f1ceffa91}" enabled="0" method="" siteId="{a3927f91-cda1-4696-af89-8c9f1ceffa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Beaker data</vt:lpstr>
      <vt:lpstr>COPENHAGEN</vt:lpstr>
      <vt:lpstr>GREENLAND</vt:lpstr>
      <vt:lpstr>Test temp</vt:lpstr>
      <vt:lpstr>Vial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Clara Fogh</dc:creator>
  <cp:keywords/>
  <dc:description/>
  <cp:lastModifiedBy>Clara Fogh</cp:lastModifiedBy>
  <cp:revision/>
  <dcterms:created xsi:type="dcterms:W3CDTF">2026-02-25T10:32:20Z</dcterms:created>
  <dcterms:modified xsi:type="dcterms:W3CDTF">2026-03-26T06:22:21Z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0x010100CABA253816168045A708280235C81F93</vt:lpwstr>
  </property>
  <property fmtid="{D5CDD505-2E9C-101B-9397-08002B2CF9AE}" pid="3" name="MediaServiceImageTags">
    <vt:lpwstr/>
  </property>
</Properties>
</file>